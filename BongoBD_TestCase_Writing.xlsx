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S0VpWnNNyIUQbnqrYgPdaBFUh7oVkj+gjXs6e4ITSdQ="/>
    </ext>
  </extLst>
</workbook>
</file>

<file path=xl/sharedStrings.xml><?xml version="1.0" encoding="utf-8"?>
<sst xmlns="http://schemas.openxmlformats.org/spreadsheetml/2006/main" count="798" uniqueCount="504">
  <si>
    <t>Mind Map of Securebank Web Application</t>
  </si>
  <si>
    <t>Project Name</t>
  </si>
  <si>
    <t>https://bongobd.com/</t>
  </si>
  <si>
    <t>Reference Document</t>
  </si>
  <si>
    <t>FRS</t>
  </si>
  <si>
    <t>Created By</t>
  </si>
  <si>
    <t>IFTEKHAR AHMED</t>
  </si>
  <si>
    <t>Creation Date</t>
  </si>
  <si>
    <t>Approval Date</t>
  </si>
  <si>
    <t>Test Scenario ID</t>
  </si>
  <si>
    <t>Reference</t>
  </si>
  <si>
    <t>Test Scenario Description</t>
  </si>
  <si>
    <t>Priority</t>
  </si>
  <si>
    <t>Number of Test Cases</t>
  </si>
  <si>
    <t>TS_001</t>
  </si>
  <si>
    <t>Validate the functionality of "Login" feature</t>
  </si>
  <si>
    <t>P0</t>
  </si>
  <si>
    <t>TS_002</t>
  </si>
  <si>
    <t>Validate the working of "Sign up" or "Registration" feature</t>
  </si>
  <si>
    <t>TS_003</t>
  </si>
  <si>
    <t>Validate the "Logout" functionality</t>
  </si>
  <si>
    <t>TS_004</t>
  </si>
  <si>
    <t>Validate the working of "Forgotten Password?" functionality.</t>
  </si>
  <si>
    <t>TS_005</t>
  </si>
  <si>
    <t>Validate the funcitonality of  Subscriptions and Payments</t>
  </si>
  <si>
    <t>P1</t>
  </si>
  <si>
    <t>TS_006</t>
  </si>
  <si>
    <t>Validate the functionality of uploading file</t>
  </si>
  <si>
    <t>P2</t>
  </si>
  <si>
    <t>TS_007</t>
  </si>
  <si>
    <t>Validate the "Search" functionaity</t>
  </si>
  <si>
    <t>P3</t>
  </si>
  <si>
    <t>TS_008</t>
  </si>
  <si>
    <t>Validate the "Contact Us" functionality</t>
  </si>
  <si>
    <t>P4</t>
  </si>
  <si>
    <t>TS_009</t>
  </si>
  <si>
    <t>Validate website compatibility across multiple browsers.</t>
  </si>
  <si>
    <t>TC Start Date</t>
  </si>
  <si>
    <t>TC Execution Start Date</t>
  </si>
  <si>
    <t>TEST CASE</t>
  </si>
  <si>
    <t>Module Name</t>
  </si>
  <si>
    <t>Account</t>
  </si>
  <si>
    <t>TC End Date</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</si>
  <si>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</si>
  <si>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</si>
  <si>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</si>
  <si>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</si>
  <si>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</si>
  <si>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</si>
  <si>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</si>
  <si>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</si>
  <si>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</si>
  <si>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</si>
  <si>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</si>
  <si>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</si>
  <si>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</si>
  <si>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</si>
  <si>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</si>
  <si>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</si>
  <si>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</si>
  <si>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</si>
  <si>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</si>
  <si>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</si>
  <si>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</si>
  <si>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</si>
  <si>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</si>
  <si>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</si>
  <si>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</si>
  <si>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</si>
  <si>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</si>
  <si>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</si>
  <si>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</si>
  <si>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</si>
  <si>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</si>
  <si>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</si>
  <si>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t>
  </si>
  <si>
    <t>Checkinging by running the URL site in different browsers.</t>
  </si>
  <si>
    <t>Should be run in different browsers.</t>
  </si>
  <si>
    <t>Found as per expectation.</t>
  </si>
  <si>
    <t>Browsers-Chrome, 
Internet Explorer, Mozilla Firefox,
Microsoft Edge,
Opera Mini.</t>
  </si>
  <si>
    <t>1. Go to different browsers.
2. Search 'Startech' 3. Go to the website.</t>
  </si>
  <si>
    <t>Passed</t>
  </si>
  <si>
    <t>User Registration</t>
  </si>
  <si>
    <t xml:space="preserve">Sign Up &amp; Login </t>
  </si>
  <si>
    <t>Verifying that the user will be able to signup to their account with the correct credential.</t>
  </si>
  <si>
    <t>User should be able to signup with correct credintial</t>
  </si>
  <si>
    <t>None</t>
  </si>
  <si>
    <t>Verifying valid email/phone, password, and other required details</t>
  </si>
  <si>
    <t xml:space="preserve"> Should be present the all mandatory field </t>
  </si>
  <si>
    <t>Verifying Click on the Register button</t>
  </si>
  <si>
    <t xml:space="preserve">User should be redirected to the dashboard after successful registration. </t>
  </si>
  <si>
    <t>Verify that login with valid credentials is successful.</t>
  </si>
  <si>
    <t xml:space="preserve">User should able to login </t>
  </si>
  <si>
    <t>Verifying that the user will be able to log in with their account with the correct credential.</t>
  </si>
  <si>
    <t>User should be able to login with correct credintial</t>
  </si>
  <si>
    <t>Verifying all login-related elements and fields are present on the login
page.</t>
  </si>
  <si>
    <t>Verify that login with incorrect credentials displays an appropriate error message.</t>
  </si>
  <si>
    <t>Not found as per expectation.</t>
  </si>
  <si>
    <t>Chrome, Microsoft edge</t>
  </si>
  <si>
    <r>
      <rPr>
        <rFont val="Arial"/>
        <color rgb="FF000000"/>
        <sz val="11.0"/>
        <u/>
      </rPr>
      <t xml:space="preserve">1. Goto the URL </t>
    </r>
    <r>
      <rPr>
        <rFont val="Arial"/>
        <color rgb="FF1155CC"/>
        <sz val="11.0"/>
        <u/>
      </rPr>
      <t>http://localhost:1337</t>
    </r>
    <r>
      <rPr>
        <rFont val="Arial"/>
        <color rgb="FF000000"/>
        <sz val="11.0"/>
        <u/>
      </rPr>
      <t xml:space="preserve"> 2. Click on the "Login" button in the right corner.
3. Enter password </t>
    </r>
  </si>
  <si>
    <t>Eye icon erron Login</t>
  </si>
  <si>
    <t>Failed</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</si>
  <si>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correct email
4.Click on "login" button</t>
    </r>
  </si>
  <si>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correct password
4.Click on "login" button</t>
    </r>
  </si>
  <si>
    <t>Verifying that error message should display after entering the invalid credentials.</t>
  </si>
  <si>
    <t xml:space="preserve">The error message should display after just entering invalid credentials </t>
  </si>
  <si>
    <t>1. Goto the URL http://localhost:1337
2. Click on the "Login" button in the right corner.
3. Enter invalid credentials
4.Click on "login" button</t>
  </si>
  <si>
    <t>Verifying that error message should display after entering an invalid email format.</t>
  </si>
  <si>
    <t>The error message should display after entering an invalid email format</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</si>
  <si>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invalid email format
4.Click on "login" button</t>
    </r>
  </si>
  <si>
    <t>Verifying logged-in user doesn’t log out by clicking the back button on the browser tab.</t>
  </si>
  <si>
    <t>User should not logged out by clicking the back button on the browser tab</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</si>
  <si>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correct credentials
4.Click on "login" button 
5. Redirect to Transaction page
6.Click on "Back"     </t>
    </r>
  </si>
  <si>
    <t xml:space="preserve">Verifying the displayed error message grammar should be correct.
</t>
  </si>
  <si>
    <t>The error message should be grammatically correct.</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</si>
  <si>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invalid credentials
4.Click on "login" button   </t>
    </r>
  </si>
  <si>
    <t xml:space="preserve">Verifying the displayed error message spell should be correct.
</t>
  </si>
  <si>
    <t>The spelling of error message should be correct.</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</si>
  <si>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invalid credentials
4.Click on "login" button   </t>
    </r>
  </si>
  <si>
    <t xml:space="preserve">Checking logged in user should not log out on closing the browser.
</t>
  </si>
  <si>
    <t>Browser should not be closed when new browser is openned</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</si>
  <si>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valid credentials 4.Click on "login" button 5. Close the browser 6. Goto the URL </t>
    </r>
    <r>
      <rPr>
        <rFont val="Arial"/>
        <color rgb="FF1155CC"/>
        <sz val="11.0"/>
        <u/>
      </rPr>
      <t>http://localhost:1337</t>
    </r>
    <r>
      <rPr>
        <rFont val="Arial"/>
        <color rgb="FF000000"/>
        <sz val="11.0"/>
      </rPr>
      <t xml:space="preserve">   </t>
    </r>
  </si>
  <si>
    <t>Verifying the login session timeout duration. So, once logged in a user cannot be authenticated for a lifetime.</t>
  </si>
  <si>
    <t>The login session should time out after a specified duration, requiring the user to log in again for continued access.</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</si>
  <si>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valid credentials 4.Click on "login" button 5.Wait for the specified time duration</t>
    </r>
  </si>
  <si>
    <t>Verifying that there is a limit to the total number of unsuccessful login attempts.</t>
  </si>
  <si>
    <t>The system should limit unsuccessful login attempts and show an error message after the limit is reached.</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</si>
  <si>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invalid credentials 4.Click on "login" button upto the limited unsuccessful login</t>
    </r>
  </si>
  <si>
    <t>Verifying the login screen will appear after clicking on a login link or login button.</t>
  </si>
  <si>
    <t>The login screen should appear after clicking the login link or button.</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</si>
  <si>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t>
    </r>
  </si>
  <si>
    <t>Verifying that the login page of the application is responsive and aligns properly on different screen resolutions and devices.</t>
  </si>
  <si>
    <t>The login page should be responsive and properly aligned on different screen resolutions and devices.</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</si>
  <si>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valid credentials 4.Click on "login" button 5. Right click on the mouse 6. Click on Inspect 7. Click toggle device toolbar 8. Checking with different device dimensions</t>
    </r>
  </si>
  <si>
    <t>Verifying login page title.</t>
  </si>
  <si>
    <t>The login page should display the correct title as per the application’s specifications.</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</si>
  <si>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t>
    </r>
  </si>
  <si>
    <t>Verifying if keyboard shortcut keys enable in the text area. Users can copy, cut or paste and select content on shift + Arrow Keys.</t>
  </si>
  <si>
    <t>Keyboard shortcuts (copy, cut, paste, Shift + Arrow) should work in the text area.</t>
  </si>
  <si>
    <t>1. Go to the URL
http://localhost:1337
2. Click on the Login button in the right corner.
3. Paste/Copy/Cut an registered email
4. Click on Submit button</t>
  </si>
  <si>
    <t>Verifying that the text area is functional in case of any validation error message shown.</t>
  </si>
  <si>
    <t>The text area should be functional during validation errors.</t>
  </si>
  <si>
    <t>1. Go to the URL
http://localhost:1337
2. Click on the Login button in the right corner.
3. Enter invalid email
4. Enter Password
5. Click on Submit button
6. Enter another email</t>
  </si>
  <si>
    <t xml:space="preserve">Verifying Backspace, delete keys should be functional </t>
  </si>
  <si>
    <t>Backspace and Delete keys should be functional in the text area.</t>
  </si>
  <si>
    <t>Found as per expectation</t>
  </si>
  <si>
    <t xml:space="preserve">1. Go to the URL
http://localhost:1337
2. Click on the Login button in the right corner.
3. Enter a registered email
4.Enter Backspace/Delete key 
</t>
  </si>
  <si>
    <t>Verifying user can paste the copied content with keyboard keys Ctrl + v.</t>
  </si>
  <si>
    <t>User should be able to paste copied content using Ctrl + V.</t>
  </si>
  <si>
    <t>Functioning successfully</t>
  </si>
  <si>
    <t>1. Go to the URL
http://localhost:1337
2. Click on the Login button in the right corner.
3. Press Ctrl+V at the email text field
4. Enter password
5. Click on Submit button</t>
  </si>
  <si>
    <t>Verifying the input text area is protected from the SQL injection.</t>
  </si>
  <si>
    <t>The input text area should be protected from SQL injection attacks.</t>
  </si>
  <si>
    <t>1=1 --</t>
  </si>
  <si>
    <t>1. Go to the URL
http://localhost:1337
2. Click on the Login button in the right corner.
3. Enter some malicious SQL code  at the email text field
4. Enter password
5. Click on Submit button</t>
  </si>
  <si>
    <t>Verifying user can type in the text area after clicking in the text area.</t>
  </si>
  <si>
    <t>User should be able to type in the text area after clicking on it.</t>
  </si>
  <si>
    <t>1. Go to the URL
http://localhost:1337
2. Click on the Login button in the right corner.
3. Enter text in the textfield of email/passowrd</t>
  </si>
  <si>
    <t>After the user login page is open, the curson should remain in the username text box by default.</t>
  </si>
  <si>
    <t>After the login page is opened, the cursor should remain in the username text box by default.</t>
  </si>
  <si>
    <t>1. Goto the URL http://localhost:1337 2. Click on the "Login" button in the right corner.</t>
  </si>
  <si>
    <t>Cursor_error</t>
  </si>
  <si>
    <t>Logout</t>
  </si>
  <si>
    <t>Verify Successful Logout</t>
  </si>
  <si>
    <t>User should be logged out successfully and redirected to the login page</t>
  </si>
  <si>
    <t>2. Click on the Login button in the right corner.</t>
  </si>
  <si>
    <t>Verify Logout Button Visibility</t>
  </si>
  <si>
    <t>The "Logout" button should be clearly visible and accessible.</t>
  </si>
  <si>
    <t>3. Enter a registered email</t>
  </si>
  <si>
    <t>Verify Logout from Multiple Devices</t>
  </si>
  <si>
    <t>Only the logged-out device's session should end.</t>
  </si>
  <si>
    <t>4.Enter Backspace/Delete key</t>
  </si>
  <si>
    <t>Register Account</t>
  </si>
  <si>
    <t xml:space="preserve">Verifying by clicking on the "Register" button for blank input.
</t>
  </si>
  <si>
    <t>Clicking the "Register" button with blank input should show an error message.</t>
  </si>
  <si>
    <t>1. Go to the URL
http://localhost:1337
2. Click on the Signup button in the right corner.
3. Click on the Register button</t>
  </si>
  <si>
    <t xml:space="preserve">Verifying all fields related to registration present on the registration form.
</t>
  </si>
  <si>
    <t xml:space="preserve"> All required fields should be present on the registration form.</t>
  </si>
  <si>
    <t xml:space="preserve">Verifying password field should have validation for a minimum of 5 characters long.
</t>
  </si>
  <si>
    <t>Password field should validate at least 5 characters.</t>
  </si>
  <si>
    <t>1. Go to the URL
http://localhost:1337
2. Click on the Signup button in the right corner.
3. Enter password with length less than 5 
4. Accept the terms and conditions
5. Click Register button</t>
  </si>
  <si>
    <t xml:space="preserve">Verifying password added by the user should be protected, encrypted, and shown in (...).
</t>
  </si>
  <si>
    <t>The password should be encrypted and displayed as dots (…).</t>
  </si>
  <si>
    <t xml:space="preserve">1. Go to the URL
http://localhost:1337
2. Click on the Signup button in the right corner.
3. Enter password with length more than 5.
</t>
  </si>
  <si>
    <t>Verifying whether the validation is added for the password and confirm whether passwords are the same or not.</t>
  </si>
  <si>
    <t>Password validation should be applied, and the system should confirm if the passwords match.</t>
  </si>
  <si>
    <t>1. Go to the URL
http://localhost:1337
2. Click on the Signup button in the right corner.
3. Enter password with length more than 5.
4. Re-enter password to confirm 
5. Accept the terms and conditions
6. Click Register button</t>
  </si>
  <si>
    <t xml:space="preserve">Verifying an eye icon added to the password and confirm the password field.
</t>
  </si>
  <si>
    <t>An eye icon should be present to toggle password visibility.</t>
  </si>
  <si>
    <t>Not found as per expectation</t>
  </si>
  <si>
    <t>1. Go to the URL
http://localhost:1337
2. Click on the Signup button in the right corner.
3. Enter password with length less than 5.
4. Re-enter password to confirm 
5. Checking the terms and conditions</t>
  </si>
  <si>
    <t>Eyeicon Registration</t>
  </si>
  <si>
    <t>Verifying that validation is added to the email field, only valid emails should be allowed to register successfully.</t>
  </si>
  <si>
    <t>The email field should validate that only valid emails can be registered.</t>
  </si>
  <si>
    <t>1. Go to the URL
http://localhost:1337
2. Click on the Signup button in the right corner.
3. Enter Invalid email
4. Enter password with length more than 5.
5. Re-enter password to confirm 
6. Accept the terms and conditions
7. Click Register button</t>
  </si>
  <si>
    <t>Verifying that the user adds blank spaces and clicks on the register button an error message should be shown.</t>
  </si>
  <si>
    <t>An error message should be shown.</t>
  </si>
  <si>
    <t>1. Go to the URL
http://localhost:1337
2. Click on the Signup button in the right corner.
3. Skip the email
4. Enter password with length more than 5
5. Re-enter password to confirm 
6. Accept the terms and conditions
7. Click Register button</t>
  </si>
  <si>
    <t xml:space="preserve">Verifying users can register successfully by entering valid credentials.
</t>
  </si>
  <si>
    <t>Users should be able to register successfully with valid credentials.</t>
  </si>
  <si>
    <t>1. Go to the URL
http://localhost:1337
2. Click on the Signup button in the right corner.
3. Enter valid email
4. Enter password with length more than 5
5. Re-enter password to confirm 
6. Checking the terms and conditions
7. Click Register button</t>
  </si>
  <si>
    <t>Verifying that the user is not allowed to register an account with the same registered email by adding plus for example useractual+1@gmail.com.</t>
  </si>
  <si>
    <t>Should not be able to register</t>
  </si>
  <si>
    <t>Found as  per expectation.</t>
  </si>
  <si>
    <t>adritaalam.prima+1@gmail.com</t>
  </si>
  <si>
    <t>1. Go to the URL
http://localhost:1337
2. Click on the Signup button in the right corner.
3. Enter email that is already used using +1 with the email
4. Enter password with length more than 5
5. Re-enter password to confirm 
6. Checking the terms and conditions
7. Click Register button</t>
  </si>
  <si>
    <t>Test by trying to register with an already registered email address</t>
  </si>
  <si>
    <t>1. Go to the URL
http://localhost:1337
2. Click on the Signup button in the right corner.
3. Enter email that is already used
4. Enter password with length more than 5
5. Re-enter password to confirm 
6. Accept the terms and conditions
7. Click Register button</t>
  </si>
  <si>
    <t xml:space="preserve">Verifying the email verification link was sent to the user's email address successfully.
</t>
  </si>
  <si>
    <t>The email verification link should be sent to the user's email successfully.</t>
  </si>
  <si>
    <t>1. Go to the URL
http://localhost:1337
2. Click on the Signup button in the right corner.
3. Enter valid email
4. Enter password with length more than 5
5. Re-enter password to confirm 
6. Accept the terms and conditions
7. Click Register button
8. Checking gmail inbox</t>
  </si>
  <si>
    <t>Verification link error</t>
  </si>
  <si>
    <t>Verifying the user is informed to check the spam folder if no email link is found in the inbox.</t>
  </si>
  <si>
    <t>Should be informed to check the spam folder if the email link is not found in the inbox.</t>
  </si>
  <si>
    <t>1. Go to the URL
http://localhost:1337
2. Click on the Signup button in the right corner.
3. Enter valid email
4. Enter password with length more than 5
5. Re-enter password to confirm 
6. Accept the terms and conditions
7. Click Register button
8. Checking gmail spam section</t>
  </si>
  <si>
    <t>Error confirmation spam</t>
  </si>
  <si>
    <t xml:space="preserve">Verifying Resend Link option is present if the user did not receive the link in the email.
</t>
  </si>
  <si>
    <t xml:space="preserve"> A "Resend Link" option should be available if the user did not receive the email link.</t>
  </si>
  <si>
    <t>1. Go to the URL
http://localhost:1337
2. Click on the Signup button in the right corner.
3. Enter valid email
4. Enter password with length more than 5
5. Re-enter password to confirm 
6. Accept the terms and conditions
7. Click Register button</t>
  </si>
  <si>
    <t>Resend link error</t>
  </si>
  <si>
    <t>Verifying all spelling mistakes on the Register page.</t>
  </si>
  <si>
    <t>Spelling should be correct.</t>
  </si>
  <si>
    <t>Subscription Processing</t>
  </si>
  <si>
    <t xml:space="preserve">Transaction 
Functionality
</t>
  </si>
  <si>
    <t>Verifying successful transaction with valid payment details</t>
  </si>
  <si>
    <t>Transaction should be processed successfully with a confirmation message</t>
  </si>
  <si>
    <t xml:space="preserve">1. Go to the URL
http://localhost:1337
2. Click on the Signup button in the right corner.
3. Enter an registered email
4. Enter registered account password 
5. Click on login 
6. Click on Transactions
7. Click on Create New 
8. Fill required fields with valid inputs
9. Click on Create
</t>
  </si>
  <si>
    <t>Verifying transaction failure with invalid payment details.</t>
  </si>
  <si>
    <t>Transaction should fail, and an error message should be displayed.</t>
  </si>
  <si>
    <t>1. Go to the URL
http://localhost:1337
2. Click on the Signup button in the right corner.
3. Enter an registered email
4. Enter registered account password 
5. Click on login 
6. Click on Transactions
7. Click on Create New 
8. Fill required fields with invalid inputs
9. Click on Create</t>
  </si>
  <si>
    <t>Verifying transaction with insufficient funds.</t>
  </si>
  <si>
    <t>Transaction should be declined due to insufficient funds, with an appropriate error message</t>
  </si>
  <si>
    <t>input&gt;amount</t>
  </si>
  <si>
    <t>1. Go to the URL
http://localhost:1337
2. Click on the Signup button in the right corner.
3. Enter an registered email
4. Enter registered account password 
5. Click on login 
6. Click on Transactions
7. Click on Create New 
8. Fill required fields with valid inputs and insuffient amount
9. Click on Create</t>
  </si>
  <si>
    <t>Verifying transaction details are recorded correctly in the transaction history</t>
  </si>
  <si>
    <t>Transaction details (amount, date, payment method) should appear accurately in the user's transaction history.</t>
  </si>
  <si>
    <t>1. Go to the URL
http://localhost:1337
2. Click on the Signup button in the right corner.
3. Enter an registered email
4. Enter registered account password 
5. Click on login 
6. Click on Transactions
7. Click on Create New 
8. Fill required fields with valid inputs
9. Click on Create
10. Click on view details</t>
  </si>
  <si>
    <t>Verifying correct transaction amount is charged.</t>
  </si>
  <si>
    <t>The charged amount should match the transaction amount.</t>
  </si>
  <si>
    <t>Verifying user is notified upon successful transaction completion.</t>
  </si>
  <si>
    <t>User should receive a notification (email/SMS) upon successful transaction.</t>
  </si>
  <si>
    <t>1. Go to the URL
http://localhost:1337
2. Click on the Signup button in the right corner.
3. Enter an registered email
4. Enter registered account password 
5. Click on login 
6. Click on Transactions
7. Click on Create New 
8. Fill required fields with valid inputs
9. Click on Create</t>
  </si>
  <si>
    <t>Transaction notification error</t>
  </si>
  <si>
    <t xml:space="preserve">Inquiry Handling </t>
  </si>
  <si>
    <t>Contact Us
Functionality</t>
  </si>
  <si>
    <t>Verifying user can initiate a "Contact Us" request via Facebook</t>
  </si>
  <si>
    <t xml:space="preserve">Should able to send a direct message </t>
  </si>
  <si>
    <t xml:space="preserve">1. Go to the URL
http://localhost:1337
2. Click on the Signup button in the right corner.
3. Enter an registered email
4. Enter registered account password 
5. Click on login 
6. Click on Contact us
7. Goto the URL https://ssrd.io
8. Click on Contact us. 
9. Click on Facebook icon with a logged id
</t>
  </si>
  <si>
    <t>Verifying user can initiate a "Contact Us" request via Twitter.</t>
  </si>
  <si>
    <t>1. Go to the URL
http://localhost:1337
2. Click on the Signup button in the right corner.
3. Enter an registered email
4. Enter registered account password 
5. Click on login 
6. Click on Contact us
7. Goto the URL https://ssrd.io
8. Click on Contact us. 
9. Click on twitter icon with a logged account</t>
  </si>
  <si>
    <t>Verifying user can initiate a "Contact Us" request via LinkedI</t>
  </si>
  <si>
    <t>1. Go to the URL
http://localhost:1337
2. Click on the Signup button in the right corner.
3. Enter an registered email
4. Enter registered account password 
5. Click on login 
6. Click on Contact us
7. Goto the URL https://ssrd.io
8. Click on Contact us. 
9. Click on LinkedIn icon with a logged id</t>
  </si>
  <si>
    <t>Verifying if the "Contact us" link work properly</t>
  </si>
  <si>
    <t xml:space="preserve">link Should redirect user to correct page </t>
  </si>
  <si>
    <t>1. Go to the URL
http://localhost:1337
2. Click on the Signup button in the right corner.
3. Enter an registered email
4. Enter registered account password 
5. Click on login 
6. Click on Contact us
7. Goto the URL https://ssrd.io
8. Click on Contact us.</t>
  </si>
  <si>
    <t>Verifying that the "Contact Us" functionality works across different devices (desktop, mobile) when using Facebook, Twitter, or LinkedIn</t>
  </si>
  <si>
    <t xml:space="preserve">Should work seamlessly across various devices </t>
  </si>
  <si>
    <t>Desktop,Mobile</t>
  </si>
  <si>
    <t xml:space="preserve">Password Reset </t>
  </si>
  <si>
    <t xml:space="preserve">   Forget password</t>
  </si>
  <si>
    <t>Verifying that forget password link should be present on the login screen</t>
  </si>
  <si>
    <t>Forgot Password" link should be visible and clickable on the login screen.</t>
  </si>
  <si>
    <t xml:space="preserve">1. Go to the URL
http://localhost:1337
2. Click on Login button in the right corner.
</t>
  </si>
  <si>
    <t>Verifying that on clicking on the forget password link forget password page should open.</t>
  </si>
  <si>
    <t>Clicking "Forgot Password" should open the password recovery page.</t>
  </si>
  <si>
    <t>1. Go to the URL
http://localhost:1337
2. Click on Login button in the right corner.
3. Click on Forget Password</t>
  </si>
  <si>
    <t xml:space="preserve">Verifying that the email field is present on the forget password page to recover the
password.
</t>
  </si>
  <si>
    <t>Email field should be present on the "Forgot Password" page.</t>
  </si>
  <si>
    <t xml:space="preserve">1. Go to the URL
http://localhost:1337
2. Click on the Login button in the right corner.
3. Click on Forget Password
</t>
  </si>
  <si>
    <t xml:space="preserve">Verifying as the user update password, the user should log out from all browser and
devices.
</t>
  </si>
  <si>
    <t>Updating the password should log the user out from all browsers and devices.</t>
  </si>
  <si>
    <t xml:space="preserve">Browsers- Google Chrome, Microsoft Edge </t>
  </si>
  <si>
    <r>
      <rPr>
        <rFont val="Arial"/>
        <color rgb="FF000000"/>
        <sz val="11.0"/>
      </rPr>
      <t xml:space="preserve">1. Go to the URL
http://localhost:1337
2. Click on the Login button in the right corner.
3. Click on Forget Password
4. Open another broswer 
5. Go the URL  </t>
    </r>
    <r>
      <rPr>
        <rFont val="Arial"/>
        <color rgb="FF1155CC"/>
        <sz val="11.0"/>
        <u/>
      </rPr>
      <t>http://localhost:1337</t>
    </r>
  </si>
  <si>
    <t>Browser error</t>
  </si>
  <si>
    <t xml:space="preserve">Verifying Submit button should be present on the page.
</t>
  </si>
  <si>
    <t>Submit button should be present on the page.</t>
  </si>
  <si>
    <t>Verifying the whole button should be clickable not only the button text.</t>
  </si>
  <si>
    <t>The entire button, not just the text, should be clickable.</t>
  </si>
  <si>
    <t>1. Go to the URL
http://localhost:1337
2. Click on the Login button in the right corner.
3. Click on Forget Password
4. Enter Email address
5. Click anywher on Submit button other than the text</t>
  </si>
  <si>
    <t>Verifying the displayed error message for unregistered should be meaningful.</t>
  </si>
  <si>
    <t>Error message for unregistered users should be clear and informative.</t>
  </si>
  <si>
    <t>1. Go to the URL
http://localhost:1337
2. Click on the Login button in the right corner.
3. Click on Forget Password
4. Enter an unregistered email
5. Click on Submit button</t>
  </si>
  <si>
    <t>Verifying the confirmation message check your email to recover the password should be
displayed after clicking on the button by entering the registered email id.</t>
  </si>
  <si>
    <t>A confirmation message should appear to check the email for password recovery.</t>
  </si>
  <si>
    <t xml:space="preserve">1. Go to the URL
http://localhost:1337
2. Click on the Login button in the right corner.
3. Click on Forget Password
4. Enter a registered email
5. Click on Submit button
</t>
  </si>
  <si>
    <t xml:space="preserve">Verifying that the user will get an email after entering a valid email id in forget password.
</t>
  </si>
  <si>
    <t>User should receive an email after entering a valid email ID in "Forgot Password."</t>
  </si>
  <si>
    <t>1. Go to the URL
http://localhost:1337
2. Click on the Login button in the right corner.
3. Click on Forget Password
4. Enter a registered email
5. Click on Submit button
6. Checking gmail inbox</t>
  </si>
  <si>
    <t>Receiving email error</t>
  </si>
  <si>
    <t>Verifying the email which the user gets against forgot password should be displayed in the
inbox, not in the spam folder.</t>
  </si>
  <si>
    <t>The password recovery email should appear in the inbox, not the spam folder.</t>
  </si>
  <si>
    <t>Recovery email spam error</t>
  </si>
  <si>
    <t xml:space="preserve">Verifying the user will get the forget password email from info@sitename.com.
</t>
  </si>
  <si>
    <t>The password recovery email should be sent from info@sitename.com.</t>
  </si>
  <si>
    <t>Recovery mail error</t>
  </si>
  <si>
    <t>Verifying the heading displayed in forget password screen should be ” Forget Password “</t>
  </si>
  <si>
    <t>The heading should be "Forgot Password."</t>
  </si>
  <si>
    <t>1. Go to the URL
http://localhost:1337
2. Click on the Login button in the right corner.
3. Click on Forget Password</t>
  </si>
  <si>
    <t>Forget Password page heading error</t>
  </si>
  <si>
    <t>UI/UX</t>
  </si>
  <si>
    <t>Verifying the website's responsiveness on different screen sizes</t>
  </si>
  <si>
    <t>The website layout should adjust smoothly, maintaining proper alignment, readability, and usability.</t>
  </si>
  <si>
    <t xml:space="preserve">1. Go to the URL
http://localhost:1337
2. Click on the Signup button in the right corner.
3. Enter an registered email
4. Enter registered account password 
5. Click on login 
6. Click on Transactions
</t>
  </si>
  <si>
    <t xml:space="preserve"> Verifying that images and banners load properly</t>
  </si>
  <si>
    <t>All images should be clear, load quickly, and be displayed without distortion or missing elements.</t>
  </si>
  <si>
    <t xml:space="preserve">1. Go to the URL
http://localhost:1337
2. Click on the Signup button in the right corner.
3. Enter an registered email
4. Enter registered account password 
5. Click on login 
6. Click on Transactions
7. Click on Update button
</t>
  </si>
  <si>
    <t>Verifying that the whole button including the button text should be clickable.</t>
  </si>
  <si>
    <t>The entire button, including the text, should be clickable.</t>
  </si>
  <si>
    <t>1. Go to the URL
http://localhost:1337
2. Click on the Signup button in the right corner.
3. Enter an registered email
4. Enter registered account password 
5. Click on login 
6. Click on Transactions
7. Click on Upload button anywhere other than text on the button</t>
  </si>
  <si>
    <t>Verifying that hover effects, animations, and interactive buttons provide appropriate feedback.</t>
  </si>
  <si>
    <t>UI elements should respond correctly to user interactions without delays or glitches.</t>
  </si>
  <si>
    <t>1. Go to the URL
http://localhost:1337
2. Click on the Signup button in the right corner.
3. Enter an registered email
4. Enter registered account password 
5. Click on login 
6. Click on Transactions
7. Click on choose file
8. Choose file larger that exceeds maximum size of the required file
9. Click on Update</t>
  </si>
  <si>
    <t xml:space="preserve">Verifying an error message if the file is empty and has no content.
</t>
  </si>
  <si>
    <t>An error message should appear for an empty file.</t>
  </si>
  <si>
    <t xml:space="preserve">1. Go to the URL
http://localhost:1337
2. Click on the Signup button in the right corner.
3. Enter an registered email
4. Enter registered account password 
5. Click on login 
6. Click on Transactions
7. Click on choose file
8. Choose an empty file
9. Click on Upload 
</t>
  </si>
  <si>
    <t>Verify the video player UI and controls</t>
  </si>
  <si>
    <t>The video player should be intuitive, and all controls should function smoothly without UI glitches.</t>
  </si>
  <si>
    <t>1. Go to the URL
http://localhost:1337
2. Click on the Signup button in the right corner.
3. Enter an registered email
4. Enter registered account password 
5. Click on login 
6. Click on Transactions
7. Drag a file to choose file
8. Click on Update</t>
  </si>
  <si>
    <t xml:space="preserve">Filter Management </t>
  </si>
  <si>
    <t>Search Functionality</t>
  </si>
  <si>
    <t xml:space="preserve">Verifying the search field is present and aligned.
</t>
  </si>
  <si>
    <t>The search field should be present and properly aligned on the page.</t>
  </si>
  <si>
    <t>Found as per expectations</t>
  </si>
  <si>
    <t xml:space="preserve">1. Go to the URL
http://localhost:1337
2. Click on the Signup button in the right corner.
3. Enter an registered email
4. Enter registered account password 
5. Click on login 
6. Click on Search
</t>
  </si>
  <si>
    <t xml:space="preserve">Verifying spelling and grammar should be correct for placeholder text.
</t>
  </si>
  <si>
    <t>The spelling and grammar of the placeholder text should be correct.</t>
  </si>
  <si>
    <t xml:space="preserve">1. Go to the URL
http://localhost:1337
2. Click on the Signup button in the right corner.
3. Enter an registered email
4. Enter registered account password 
5. Click on login 
6. Click on Search
</t>
  </si>
  <si>
    <t>Verifyinging an error message should display for blank input.</t>
  </si>
  <si>
    <t>An error message should be displayed when the input is left blank.</t>
  </si>
  <si>
    <t xml:space="preserve">1. Go to the URL
http://localhost:1337
2. Click on the Signup button in the right corner.
3. Enter an registered email
4. Enter registered account password 
5. Click on login 
6. Click on Search
7. Put the title field blank
8. Click on Search button
</t>
  </si>
  <si>
    <t>Blank input error</t>
  </si>
  <si>
    <t>Verifyinging pagination added in case the search result goes on the number of pages.</t>
  </si>
  <si>
    <t>Pagination should be added when the search results exceed one page.</t>
  </si>
  <si>
    <t>1. Go to the URL
http://localhost:1337
2. Click on the Signup button in the right corner.
3. Enter an registered email
4. Enter registered account password 
5. Click on login 
6. Click on Search
7. Enter input to text field
8. Click on Search button</t>
  </si>
  <si>
    <t>Search pagination error</t>
  </si>
  <si>
    <t>Checkinging if the user can paste the keyword with the mouse.</t>
  </si>
  <si>
    <t>User should be able to paste the keyword using the mouse.</t>
  </si>
  <si>
    <t xml:space="preserve">1. Go to the URL
http://localhost:1337
2. Click on the Signup button in the right corner.
3. Enter an registered email
4. Enter registered account password 
5. Click on login 
6. Click on Search
7. Paste input to text field clicking mouse's right click
8. Click on Search button
</t>
  </si>
  <si>
    <t>Checkinging the search is working by adding keywords and on click on the search button.</t>
  </si>
  <si>
    <t>Search should work when keywords are entered and the search button is clicked.</t>
  </si>
  <si>
    <t>Search by search button error</t>
  </si>
  <si>
    <t>Verifying the search is working by adding keywords and pressing the Enter key on the keyboard.</t>
  </si>
  <si>
    <t>Search should work when keywords are entered and the Enter key is pressed.</t>
  </si>
  <si>
    <t xml:space="preserve">1. Go to the URL
http://localhost:1337
2. Click on the Signup button in the right corner.
3. Enter an registered email
4. Enter registered account password 
5. Click on login 
6. Click on Search
7. Enter input to text field
8. Press Enter key on keyboard
</t>
  </si>
  <si>
    <t>Search by Enter key error</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</si>
  <si>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</si>
  <si>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</si>
  <si>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</si>
  <si>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</si>
  <si>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</si>
  <si>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BongoBD</t>
  </si>
  <si>
    <t xml:space="preserve">Module Name   </t>
  </si>
  <si>
    <t>Account,User authentication,User registration</t>
  </si>
  <si>
    <t xml:space="preserve">Total No. </t>
  </si>
  <si>
    <t>Status</t>
  </si>
  <si>
    <t>New Features:-</t>
  </si>
  <si>
    <t>Testing Scope:-</t>
  </si>
  <si>
    <t xml:space="preserve">Feature Name   </t>
  </si>
  <si>
    <t>Register Account ,Account Login,  Search Functionality, Transaction Functionality</t>
  </si>
  <si>
    <t>Test Case Version</t>
  </si>
  <si>
    <t>Written By</t>
  </si>
  <si>
    <t>Executed By</t>
  </si>
  <si>
    <t>Not Executed</t>
  </si>
  <si>
    <t>Reviewed By</t>
  </si>
  <si>
    <t>Out of Scope</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</si>
  <si>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</si>
  <si>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</si>
  <si>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</si>
  <si>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</si>
  <si>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</si>
  <si>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</si>
  <si>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</si>
  <si>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</si>
  <si>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</si>
  <si>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</si>
  <si>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</si>
  <si>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</si>
  <si>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</si>
  <si>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</si>
  <si>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</si>
  <si>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</si>
  <si>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</si>
  <si>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</si>
  <si>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</si>
  <si>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</si>
  <si>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</si>
  <si>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</si>
  <si>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</si>
  <si>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</si>
  <si>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</si>
  <si>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</si>
  <si>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</si>
  <si>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</si>
  <si>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</si>
  <si>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</si>
  <si>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#SL 01</t>
  </si>
  <si>
    <r>
      <rPr>
        <rFont val="Arial"/>
        <b/>
        <color rgb="FF000000"/>
        <sz val="10.0"/>
      </rPr>
      <t>I</t>
    </r>
    <r>
      <rPr>
        <rFont val="Arial"/>
        <b/>
        <color rgb="FF000000"/>
        <sz val="10.0"/>
      </rPr>
      <t xml:space="preserve">ssue: </t>
    </r>
    <r>
      <rPr>
        <rFont val="Arial"/>
        <b val="0"/>
        <color rgb="FF000000"/>
        <sz val="10.0"/>
      </rPr>
      <t>Eye-icon of login password absent in Google Chrome</t>
    </r>
  </si>
  <si>
    <t>Reproducing Steps:</t>
  </si>
  <si>
    <r>
      <rPr>
        <rFont val="Arial"/>
        <color rgb="FF000000"/>
        <sz val="10.0"/>
      </rPr>
      <t xml:space="preserve">1. Goto the URL </t>
    </r>
    <r>
      <rPr>
        <rFont val="Arial"/>
        <color rgb="FF1155CC"/>
        <sz val="10.0"/>
        <u/>
      </rPr>
      <t>http://localhost:1337</t>
    </r>
    <r>
      <rPr>
        <rFont val="Arial"/>
        <color rgb="FF000000"/>
        <sz val="10.0"/>
      </rPr>
      <t xml:space="preserve"> </t>
    </r>
  </si>
  <si>
    <t>2. Click on the "Login" button in the right corner.</t>
  </si>
  <si>
    <t>3. Enter password</t>
  </si>
  <si>
    <t xml:space="preserve">Env: </t>
  </si>
  <si>
    <r>
      <rPr>
        <rFont val="Arial"/>
        <b/>
        <color rgb="FF000000"/>
        <sz val="10.0"/>
      </rPr>
      <t xml:space="preserve">Module: </t>
    </r>
    <r>
      <rPr>
        <rFont val="Arial"/>
        <b val="0"/>
        <color rgb="FF000000"/>
        <sz val="10.0"/>
      </rPr>
      <t>Login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</si>
  <si>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</si>
  <si>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</si>
  <si>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Screenshot:</t>
    </r>
    <r>
      <rPr>
        <rFont val="Arial"/>
        <b/>
        <color rgb="FFCC0000"/>
        <sz val="10.0"/>
      </rPr>
      <t xml:space="preserve"> Error_Eyeicon_login.png</t>
    </r>
  </si>
  <si>
    <r>
      <rPr>
        <rFont val="Arial"/>
        <b/>
        <color rgb="FF000000"/>
        <sz val="10.0"/>
      </rPr>
      <t xml:space="preserve">Expected: </t>
    </r>
    <r>
      <rPr>
        <rFont val="Arial"/>
        <b val="0"/>
        <color rgb="FF000000"/>
        <sz val="10.0"/>
      </rPr>
      <t>Eye-icon should be added to the password</t>
    </r>
  </si>
  <si>
    <r>
      <rPr>
        <rFont val="Arial"/>
        <b/>
        <color rgb="FF000000"/>
        <sz val="10.0"/>
      </rPr>
      <t xml:space="preserve">Responsible QA: </t>
    </r>
    <r>
      <rPr>
        <rFont val="Arial"/>
        <b val="0"/>
        <color rgb="FF000000"/>
        <sz val="10.0"/>
      </rPr>
      <t>Adrita Alam</t>
    </r>
  </si>
  <si>
    <t>#SL 02</t>
  </si>
  <si>
    <r>
      <rPr>
        <rFont val="Arial"/>
        <b/>
        <color rgb="FF000000"/>
        <sz val="10.0"/>
      </rPr>
      <t xml:space="preserve">Issue: </t>
    </r>
    <r>
      <rPr>
        <rFont val="Arial"/>
        <b val="0"/>
        <color rgb="FF000000"/>
        <sz val="10.0"/>
      </rPr>
      <t>Curson was not in username textbox</t>
    </r>
  </si>
  <si>
    <t xml:space="preserve">1. Goto the URL http://localhost:1337 </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</si>
  <si>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</si>
  <si>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Login</t>
    </r>
  </si>
  <si>
    <r>
      <rPr>
        <rFont val="Arial"/>
        <b/>
        <color rgb="FF000000"/>
        <sz val="10.0"/>
      </rPr>
      <t xml:space="preserve">Priority: </t>
    </r>
    <r>
      <rPr>
        <rFont val="Arial"/>
        <b val="0"/>
        <color rgb="FF000000"/>
        <sz val="10.0"/>
      </rPr>
      <t>P4</t>
    </r>
  </si>
  <si>
    <r>
      <rPr>
        <rFont val="Arial"/>
        <b/>
        <color rgb="FF000000"/>
        <sz val="10.0"/>
      </rPr>
      <t xml:space="preserve">Severity: </t>
    </r>
    <r>
      <rPr>
        <rFont val="Arial"/>
        <b val="0"/>
        <color rgb="FF000000"/>
        <sz val="10.0"/>
      </rPr>
      <t>Minor</t>
    </r>
  </si>
  <si>
    <r>
      <rPr>
        <rFont val="Arial"/>
        <b/>
        <color rgb="FF000000"/>
        <sz val="10.0"/>
      </rPr>
      <t>Screenshot:</t>
    </r>
    <r>
      <rPr>
        <rFont val="Arial"/>
        <b/>
        <color rgb="FFCC0000"/>
        <sz val="10.0"/>
      </rPr>
      <t xml:space="preserve"> </t>
    </r>
    <r>
      <rPr>
        <rFont val="Arial"/>
        <b/>
        <color rgb="FFA61C00"/>
        <sz val="10.0"/>
        <u/>
      </rPr>
      <t>Cursor_error</t>
    </r>
  </si>
  <si>
    <r>
      <rPr>
        <rFont val="Arial"/>
        <b/>
        <color rgb="FF000000"/>
        <sz val="10.0"/>
      </rPr>
      <t xml:space="preserve">Expected: </t>
    </r>
    <r>
      <rPr>
        <rFont val="Arial"/>
        <b val="0"/>
        <color rgb="FF000000"/>
        <sz val="10.0"/>
      </rPr>
      <t>After the login page is opened, the cursor should remain in the username text box by default.</t>
    </r>
  </si>
  <si>
    <r>
      <rPr>
        <rFont val="Arial"/>
        <b/>
        <color rgb="FF000000"/>
        <sz val="10.0"/>
      </rPr>
      <t xml:space="preserve">Responsible QA: </t>
    </r>
    <r>
      <rPr>
        <rFont val="Arial"/>
        <b val="0"/>
        <color rgb="FF000000"/>
        <sz val="10.0"/>
      </rPr>
      <t>Adrita Alam</t>
    </r>
  </si>
  <si>
    <t>#SL 03</t>
  </si>
  <si>
    <r>
      <rPr>
        <rFont val="Arial"/>
        <b/>
        <color rgb="FF000000"/>
        <sz val="10.0"/>
      </rPr>
      <t xml:space="preserve">Issue: </t>
    </r>
    <r>
      <rPr>
        <rFont val="Arial"/>
        <b val="0"/>
        <color rgb="FF000000"/>
        <sz val="10.0"/>
      </rPr>
      <t>Email verification link wasn't sent to user's email</t>
    </r>
  </si>
  <si>
    <r>
      <rPr>
        <rFont val="Arial"/>
        <color rgb="FF000000"/>
        <sz val="10.0"/>
      </rPr>
      <t xml:space="preserve">1. Go to the URL </t>
    </r>
    <r>
      <rPr>
        <rFont val="Arial"/>
        <color rgb="FF1155CC"/>
        <sz val="10.0"/>
        <u/>
      </rPr>
      <t>http://localhost:1337</t>
    </r>
  </si>
  <si>
    <t>2. Click on the Signup button in the right corner.</t>
  </si>
  <si>
    <t>3. Enter valid email</t>
  </si>
  <si>
    <t>4. Enter password with length more than 5</t>
  </si>
  <si>
    <t>5. Re-enter password to confirm</t>
  </si>
  <si>
    <t>6. Accept the terms and conditions</t>
  </si>
  <si>
    <t>7. Click Register button</t>
  </si>
  <si>
    <t>8. Checking gmail inbox</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</si>
  <si>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</si>
  <si>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</si>
  <si>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</si>
  <si>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</si>
  <si>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r>
      <rPr>
        <rFont val="Arial"/>
        <b/>
        <color rgb="FF000000"/>
        <sz val="10.0"/>
      </rPr>
      <t>Screenshot:</t>
    </r>
    <r>
      <rPr>
        <rFont val="Arial"/>
        <b/>
        <color rgb="FFCC0000"/>
        <sz val="10.0"/>
      </rPr>
      <t xml:space="preserve"> </t>
    </r>
    <r>
      <rPr>
        <rFont val="Arial"/>
        <b/>
        <color rgb="FFA61C00"/>
        <sz val="10.0"/>
        <u/>
      </rPr>
      <t>Error_ConfirmationMail</t>
    </r>
  </si>
  <si>
    <r>
      <rPr>
        <rFont val="Arial"/>
        <b/>
        <color rgb="FF000000"/>
        <sz val="10.0"/>
      </rPr>
      <t xml:space="preserve">Expected: </t>
    </r>
    <r>
      <rPr>
        <rFont val="Arial"/>
        <b val="0"/>
        <color rgb="FF000000"/>
        <sz val="10.0"/>
      </rPr>
      <t>Verification email should be sent to user's email</t>
    </r>
  </si>
  <si>
    <r>
      <rPr>
        <rFont val="Arial"/>
        <b/>
        <color rgb="FF000000"/>
        <sz val="10.0"/>
      </rPr>
      <t xml:space="preserve">Responsible QA: </t>
    </r>
    <r>
      <rPr>
        <rFont val="Arial"/>
        <b val="0"/>
        <color rgb="FF000000"/>
        <sz val="10.0"/>
      </rPr>
      <t>Adrita Alam</t>
    </r>
  </si>
  <si>
    <t>#SL 04</t>
  </si>
  <si>
    <r>
      <rPr>
        <rFont val="Arial"/>
        <b/>
        <color rgb="FF000000"/>
        <sz val="10.0"/>
      </rPr>
      <t xml:space="preserve">Issue: </t>
    </r>
    <r>
      <rPr>
        <rFont val="Arial"/>
        <b val="0"/>
        <color rgb="FF000000"/>
        <sz val="10.0"/>
      </rPr>
      <t>Email resend link option absent</t>
    </r>
  </si>
  <si>
    <r>
      <rPr>
        <rFont val="Arial"/>
        <color rgb="FF000000"/>
        <sz val="10.0"/>
      </rPr>
      <t xml:space="preserve">1. Go to the URL </t>
    </r>
    <r>
      <rPr>
        <rFont val="Arial"/>
        <color rgb="FF1155CC"/>
        <sz val="10.0"/>
        <u/>
      </rPr>
      <t>http://localhost:1337</t>
    </r>
  </si>
  <si>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</si>
  <si>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</si>
  <si>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</si>
  <si>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</si>
  <si>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r>
      <rPr>
        <rFont val="Arial"/>
        <b/>
        <color rgb="FF000000"/>
        <sz val="10.0"/>
      </rPr>
      <t>Screenshot:</t>
    </r>
    <r>
      <rPr>
        <rFont val="Arial"/>
        <b/>
        <color rgb="FFCC0000"/>
        <sz val="10.0"/>
      </rPr>
      <t xml:space="preserve"> </t>
    </r>
    <r>
      <rPr>
        <rFont val="Arial"/>
        <b/>
        <color rgb="FFA61C00"/>
        <sz val="10.0"/>
        <u/>
      </rPr>
      <t>Error_ResendLink</t>
    </r>
  </si>
  <si>
    <r>
      <rPr>
        <rFont val="Arial"/>
        <b/>
        <color rgb="FF000000"/>
        <sz val="10.0"/>
      </rPr>
      <t xml:space="preserve">Expected: </t>
    </r>
    <r>
      <rPr>
        <rFont val="Arial"/>
        <b val="0"/>
        <color rgb="FF000000"/>
        <sz val="10.0"/>
      </rPr>
      <t>Resend link should be available if user didn't receive email link</t>
    </r>
  </si>
  <si>
    <r>
      <rPr>
        <rFont val="Arial"/>
        <b/>
        <color rgb="FF000000"/>
        <sz val="10.0"/>
      </rPr>
      <t xml:space="preserve">Responsible QA: </t>
    </r>
    <r>
      <rPr>
        <rFont val="Arial"/>
        <b val="0"/>
        <color rgb="FF000000"/>
        <sz val="10.0"/>
      </rPr>
      <t>Adrita Alam</t>
    </r>
  </si>
  <si>
    <t>#SL 05</t>
  </si>
  <si>
    <r>
      <rPr>
        <rFont val="Arial"/>
        <b/>
        <color rgb="FF000000"/>
        <sz val="10.0"/>
      </rPr>
      <t xml:space="preserve">Issue: </t>
    </r>
    <r>
      <rPr>
        <rFont val="Arial"/>
        <b val="0"/>
        <color rgb="FF000000"/>
        <sz val="10.0"/>
      </rPr>
      <t>Updating password didn't logged out from other browsers and devices</t>
    </r>
  </si>
  <si>
    <r>
      <rPr>
        <rFont val="Arial"/>
        <color rgb="FF000000"/>
        <sz val="10.0"/>
      </rPr>
      <t xml:space="preserve">1. Go to the URL </t>
    </r>
    <r>
      <rPr>
        <rFont val="Arial"/>
        <color rgb="FF1155CC"/>
        <sz val="10.0"/>
        <u/>
      </rPr>
      <t>http://localhost:1337</t>
    </r>
  </si>
  <si>
    <t>3. Click on Forget Password</t>
  </si>
  <si>
    <t>4. Open another broswer</t>
  </si>
  <si>
    <t>5. Go the URL  http://localhost:1337</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</si>
  <si>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</si>
  <si>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Login</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</si>
  <si>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</si>
  <si>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</si>
  <si>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000000"/>
        <sz val="10.0"/>
      </rPr>
      <t>Screenshot:</t>
    </r>
    <r>
      <rPr>
        <rFont val="Arial"/>
        <b/>
        <color rgb="FFCC0000"/>
        <sz val="10.0"/>
      </rPr>
      <t xml:space="preserve"> </t>
    </r>
    <r>
      <rPr>
        <rFont val="Arial"/>
        <b/>
        <color rgb="FFA61C00"/>
        <sz val="10.0"/>
        <u/>
      </rPr>
      <t>Browser error</t>
    </r>
  </si>
  <si>
    <r>
      <rPr>
        <rFont val="Arial"/>
        <b/>
        <color rgb="FF000000"/>
        <sz val="10.0"/>
      </rPr>
      <t xml:space="preserve">Expected: </t>
    </r>
    <r>
      <rPr>
        <rFont val="Arial"/>
        <b val="0"/>
        <color rgb="FF000000"/>
        <sz val="10.0"/>
      </rPr>
      <t>Logged out from other browsers and devices after updating password</t>
    </r>
  </si>
  <si>
    <r>
      <rPr>
        <rFont val="Arial"/>
        <b/>
        <color rgb="FF000000"/>
        <sz val="10.0"/>
      </rPr>
      <t xml:space="preserve">Responsible QA: </t>
    </r>
    <r>
      <rPr>
        <rFont val="Arial"/>
        <b val="0"/>
        <color rgb="FF000000"/>
        <sz val="10.0"/>
      </rPr>
      <t>Adrita Alam</t>
    </r>
  </si>
  <si>
    <t>#SL 06</t>
  </si>
  <si>
    <r>
      <rPr>
        <rFont val="Arial"/>
        <b/>
        <color rgb="FF000000"/>
        <sz val="10.0"/>
      </rPr>
      <t xml:space="preserve">Issue: </t>
    </r>
    <r>
      <rPr>
        <rFont val="Arial"/>
        <b val="0"/>
        <color rgb="FF000000"/>
        <sz val="10.0"/>
      </rPr>
      <t>Search functionality didn't work when search button was clicked</t>
    </r>
  </si>
  <si>
    <r>
      <rPr>
        <rFont val="Arial"/>
        <color rgb="FF000000"/>
        <sz val="10.0"/>
      </rPr>
      <t xml:space="preserve">1. Go to the URL </t>
    </r>
    <r>
      <rPr>
        <rFont val="Arial"/>
        <color rgb="FF1155CC"/>
        <sz val="10.0"/>
        <u/>
      </rPr>
      <t>http://localhost:1337</t>
    </r>
  </si>
  <si>
    <t>3. Enter an registered email</t>
  </si>
  <si>
    <t>4. Enter registered account password</t>
  </si>
  <si>
    <t>5. Click on login</t>
  </si>
  <si>
    <t>6. Click on Search</t>
  </si>
  <si>
    <t>7. Enter input to text field</t>
  </si>
  <si>
    <t>8. Click on Search button</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</si>
  <si>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</si>
  <si>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Search</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</si>
  <si>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</si>
  <si>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</si>
  <si>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r>
      <rPr>
        <rFont val="Arial"/>
        <b/>
        <color rgb="FF000000"/>
        <sz val="10.0"/>
      </rPr>
      <t>Screenshot:</t>
    </r>
    <r>
      <rPr>
        <rFont val="Arial"/>
        <b/>
        <color rgb="FFCC0000"/>
        <sz val="10.0"/>
      </rPr>
      <t xml:space="preserve"> </t>
    </r>
    <r>
      <rPr>
        <rFont val="Arial"/>
        <b/>
        <color rgb="FFA61C00"/>
        <sz val="10.0"/>
        <u/>
      </rPr>
      <t>Search Error</t>
    </r>
  </si>
  <si>
    <r>
      <rPr>
        <rFont val="Arial"/>
        <b/>
        <color rgb="FF000000"/>
        <sz val="10.0"/>
      </rPr>
      <t xml:space="preserve">Expected: </t>
    </r>
    <r>
      <rPr>
        <rFont val="Arial"/>
        <b val="0"/>
        <color rgb="FF000000"/>
        <sz val="10.0"/>
      </rPr>
      <t>Search result should have displayed when search button was clicked</t>
    </r>
  </si>
  <si>
    <r>
      <rPr>
        <rFont val="Arial"/>
        <b/>
        <color rgb="FF000000"/>
        <sz val="10.0"/>
      </rPr>
      <t xml:space="preserve">Responsible QA: </t>
    </r>
    <r>
      <rPr>
        <rFont val="Arial"/>
        <b val="0"/>
        <color rgb="FF000000"/>
        <sz val="10.0"/>
      </rPr>
      <t>Adrita Alam</t>
    </r>
  </si>
  <si>
    <t>Test Metrics</t>
  </si>
  <si>
    <t>Metrics</t>
  </si>
  <si>
    <t>Result (%)</t>
  </si>
  <si>
    <t>Percentage of Test Cases Executed</t>
  </si>
  <si>
    <t>(No. of Test Cases Executed / Total no. of Test Cases Written) * 100</t>
  </si>
  <si>
    <t>(82/82)*100 = 100</t>
  </si>
  <si>
    <t>Percentage of Test Cases Not Executed</t>
  </si>
  <si>
    <t>(No. of Test Cases not Executed / Total no. of Test Cases Written) * 100</t>
  </si>
  <si>
    <t>(0/82)*100 = 0</t>
  </si>
  <si>
    <t>Percentage of Test Cases Passed</t>
  </si>
  <si>
    <t>(No. of Test Cases Passed / Total no. of Test Cases Executed) * 100</t>
  </si>
  <si>
    <t>(66/82)*100 = 80.5%</t>
  </si>
  <si>
    <t>Percentage of Test Cases Failed</t>
  </si>
  <si>
    <t>(No. of Test Cases Failed / Total no. of Test Cases Executed) * 100</t>
  </si>
  <si>
    <t>(16/82)*100 = 19.5%</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</si>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</sst>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4">
    <font>
      <sz val="10.0"/>
      <color rgb="FF000000"/>
      <name val="Calibri"/>
      <scheme val="minor"/>
    </font>
    <font>
      <sz val="14.0"/>
      <color theme="9"/>
      <name val="Calibri"/>
    </font>
    <font>
      <u/>
      <sz val="10.0"/>
      <color rgb="FF0000FF"/>
      <name val="Calibri"/>
    </font>
    <font>
      <b/>
      <sz val="14.0"/>
      <color theme="1"/>
      <name val="Calibri"/>
    </font>
    <font/>
    <font>
      <b/>
      <sz val="10.0"/>
      <color rgb="FF000000"/>
      <name val="Calibri"/>
    </font>
    <font>
      <b/>
      <sz val="14.0"/>
      <color theme="1"/>
      <name val="Arial"/>
    </font>
    <font>
      <color theme="1"/>
      <name val="Arial"/>
    </font>
    <font>
      <color theme="1"/>
      <name val="Calibri"/>
    </font>
    <font>
      <sz val="14.0"/>
      <color theme="1"/>
      <name val="Calibri"/>
    </font>
    <font>
      <sz val="12.0"/>
      <color theme="1"/>
      <name val="Calibri"/>
    </font>
    <font>
      <color rgb="FFFFFFFF"/>
      <name val="Arial"/>
    </font>
    <font>
      <u/>
      <color rgb="FF0000FF"/>
      <name val="Arial"/>
    </font>
    <font>
      <sz val="11.0"/>
      <color rgb="FF000000"/>
      <name val="Arial"/>
    </font>
    <font>
      <color rgb="FF000000"/>
      <name val="Arial"/>
    </font>
    <font>
      <b/>
      <color rgb="FFFFFFFF"/>
      <name val="Arial"/>
    </font>
    <font>
      <sz val="11.0"/>
      <color theme="1"/>
      <name val="Arial"/>
    </font>
    <font>
      <b/>
      <sz val="10.0"/>
      <color rgb="FFF3F3F3"/>
      <name val="Arial"/>
    </font>
    <font>
      <u/>
      <sz val="10.0"/>
      <color rgb="FF0000FF"/>
      <name val="Arial"/>
    </font>
    <font>
      <sz val="10.0"/>
      <color rgb="FF000000"/>
      <name val="Arial"/>
    </font>
    <font>
      <sz val="10.0"/>
      <color rgb="FF000000"/>
      <name val="Calibri"/>
    </font>
    <font>
      <sz val="10.0"/>
      <color rgb="FF000000"/>
      <name val="Verdana"/>
    </font>
    <font>
      <sz val="10.0"/>
      <color rgb="FFFF0000"/>
      <name val="Calibri"/>
    </font>
    <font>
      <b/>
      <sz val="10.0"/>
      <color rgb="FFF3F3F3"/>
      <name val="Verdana"/>
    </font>
    <font>
      <b/>
      <sz val="10.0"/>
      <color rgb="FF000000"/>
      <name val="Arial"/>
    </font>
    <font>
      <sz val="10.0"/>
      <color theme="1"/>
      <name val="Arial"/>
    </font>
    <font>
      <b/>
      <sz val="10.0"/>
      <color rgb="FFFFFFFF"/>
      <name val="Arial"/>
    </font>
    <font>
      <b/>
      <sz val="10.0"/>
      <color theme="1"/>
      <name val="Arial"/>
    </font>
    <font>
      <sz val="11.0"/>
      <color rgb="FF000000"/>
      <name val="Verdana"/>
    </font>
    <font>
      <sz val="11.0"/>
      <color rgb="FF000000"/>
      <name val="Calibri"/>
    </font>
    <font>
      <b/>
      <sz val="11.0"/>
      <color rgb="FFFFFFFF"/>
      <name val="Arial"/>
    </font>
    <font>
      <b/>
      <sz val="12.0"/>
      <color rgb="FFFFFFFF"/>
      <name val="Arial"/>
    </font>
    <font>
      <b/>
      <sz val="12.0"/>
      <color theme="0"/>
      <name val="Arial"/>
    </font>
    <font>
      <sz val="12.0"/>
      <color rgb="FFFFFFFF"/>
      <name val="Times New Roman"/>
    </font>
    <font>
      <b/>
      <sz val="11.0"/>
      <color rgb="FF000000"/>
      <name val="Arial"/>
    </font>
    <font>
      <b/>
      <sz val="10.0"/>
      <color rgb="FFFF0000"/>
      <name val="Arial"/>
    </font>
    <font>
      <b/>
      <sz val="10.0"/>
      <color rgb="FF000000"/>
      <name val="Verdana"/>
    </font>
    <font>
      <b/>
      <sz val="12.0"/>
      <color theme="1"/>
      <name val="Arial"/>
    </font>
    <font>
      <b/>
      <sz val="10.0"/>
      <color rgb="FFFFFFFF"/>
      <name val="Verdana"/>
    </font>
    <font>
      <sz val="10.0"/>
      <color rgb="FFFFFFFF"/>
      <name val="Verdana"/>
    </font>
    <font>
      <sz val="11.0"/>
      <color rgb="FFFF0000"/>
      <name val="Arial"/>
    </font>
    <font>
      <sz val="11.0"/>
      <color rgb="FFFFFFFF"/>
      <name val="Arial"/>
    </font>
    <font>
      <sz val="11.0"/>
      <color rgb="FFFFFFFF"/>
      <name val="Calibri"/>
    </font>
    <font>
      <u/>
      <sz val="11.0"/>
      <color rgb="FF000000"/>
      <name val="Arial"/>
    </font>
    <font>
      <u/>
      <sz val="11.0"/>
      <color rgb="FFFF0000"/>
      <name val="Arial"/>
    </font>
    <font>
      <u/>
      <sz val="10.0"/>
      <color rgb="FFFF0000"/>
      <name val="Arial"/>
    </font>
    <font>
      <u/>
      <sz val="11.0"/>
      <color rgb="FF000000"/>
      <name val="Arial"/>
    </font>
    <font>
      <sz val="11.0"/>
      <color rgb="FF0000FF"/>
      <name val="Arial"/>
    </font>
    <font>
      <sz val="11.0"/>
      <color theme="1"/>
      <name val="Calibri"/>
    </font>
    <font>
      <u/>
      <sz val="11.0"/>
      <color rgb="FFFF0000"/>
      <name val="Arial"/>
    </font>
    <font>
      <b/>
      <sz val="11.0"/>
      <color theme="1"/>
      <name val="Arial"/>
    </font>
    <font>
      <sz val="12.0"/>
      <color rgb="FF0000FF"/>
      <name val="Arial"/>
    </font>
    <font>
      <u/>
      <sz val="11.0"/>
      <color rgb="FFFF0000"/>
      <name val="Arial"/>
    </font>
    <font>
      <u/>
      <sz val="11.0"/>
      <color rgb="FFFF0000"/>
      <name val="Arial"/>
    </font>
    <font>
      <sz val="11.0"/>
      <color rgb="FFB7B7B7"/>
      <name val="Arial"/>
    </font>
    <font>
      <b/>
      <sz val="11.0"/>
      <color rgb="FFB7B7B7"/>
      <name val="Arial"/>
    </font>
    <font>
      <sz val="11.0"/>
      <color rgb="FFB7B7B7"/>
      <name val="Calibri"/>
    </font>
    <font>
      <sz val="11.0"/>
      <color rgb="FFCCCCCC"/>
      <name val="Calibri"/>
    </font>
    <font>
      <sz val="10.0"/>
      <color rgb="FFCCCCCC"/>
      <name val="Verdana"/>
    </font>
    <font>
      <sz val="12.0"/>
      <color theme="1"/>
      <name val="Arial"/>
    </font>
    <font>
      <b/>
      <sz val="11.0"/>
      <color rgb="FF000000"/>
      <name val="Calibri"/>
    </font>
    <font>
      <sz val="11.0"/>
      <color rgb="FFFF0000"/>
      <name val="Calibri"/>
    </font>
    <font>
      <b/>
      <sz val="11.0"/>
      <color theme="1"/>
      <name val="Calibri"/>
    </font>
    <font>
      <sz val="11.0"/>
      <color theme="1"/>
      <name val="Verdana"/>
    </font>
    <font>
      <sz val="11.0"/>
      <color rgb="FF333333"/>
      <name val="Verdana"/>
    </font>
    <font>
      <sz val="10.0"/>
      <color theme="1"/>
      <name val="Calibri"/>
    </font>
    <font>
      <sz val="11.0"/>
      <color rgb="FF0000FF"/>
      <name val="Calibri"/>
    </font>
    <font>
      <sz val="11.0"/>
      <color rgb="FF0A0A0A"/>
      <name val="Calibri"/>
    </font>
    <font>
      <sz val="10.0"/>
      <color theme="1"/>
      <name val="Verdana"/>
    </font>
    <font>
      <b/>
      <sz val="24.0"/>
      <color rgb="FFFFFFFF"/>
      <name val="Calibri"/>
    </font>
    <font>
      <b/>
      <sz val="12.0"/>
      <color rgb="FF222222"/>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20.0"/>
      <color rgb="FF000000"/>
      <name val="Calibri"/>
    </font>
    <font>
      <b/>
      <sz val="20.0"/>
      <color rgb="FFEFEFEF"/>
      <name val="Calibri"/>
    </font>
    <font>
      <u/>
      <sz val="10.0"/>
      <color rgb="FF000000"/>
      <name val="Arial"/>
    </font>
    <font>
      <b/>
      <u/>
      <sz val="10.0"/>
      <color rgb="FFCC0000"/>
      <name val="Arial"/>
    </font>
    <font>
      <b/>
      <sz val="20.0"/>
      <color rgb="FFF3F3F3"/>
      <name val="Calibri"/>
    </font>
    <font>
      <b/>
      <sz val="18.0"/>
      <color rgb="FFF3F3F3"/>
      <name val="Arial"/>
    </font>
    <font>
      <b/>
      <sz val="14.0"/>
      <color rgb="FF000000"/>
      <name val="Calibri"/>
    </font>
    <font>
      <b/>
      <sz val="14.0"/>
      <color rgb="FFEFEFEF"/>
      <name val="Arial"/>
    </font>
  </fonts>
  <fills count="34">
    <fill>
      <patternFill patternType="none"/>
    </fill>
    <fill>
      <patternFill patternType="lightGray"/>
    </fill>
    <fill>
      <patternFill patternType="solid">
        <fgColor rgb="FFD9D2E9"/>
        <bgColor rgb="FFD9D2E9"/>
      </patternFill>
    </fill>
    <fill>
      <patternFill patternType="solid">
        <fgColor rgb="FFF1C232"/>
        <bgColor rgb="FFF1C232"/>
      </patternFill>
    </fill>
    <fill>
      <patternFill patternType="solid">
        <fgColor rgb="FF1C4587"/>
        <bgColor rgb="FF1C4587"/>
      </patternFill>
    </fill>
    <fill>
      <patternFill patternType="solid">
        <fgColor rgb="FFBF9000"/>
        <bgColor rgb="FFBF9000"/>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20124D"/>
        <bgColor rgb="FF20124D"/>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666666"/>
        <bgColor rgb="FF666666"/>
      </patternFill>
    </fill>
    <fill>
      <patternFill patternType="solid">
        <fgColor rgb="FF9FC5E8"/>
        <bgColor rgb="FF9FC5E8"/>
      </patternFill>
    </fill>
    <fill>
      <patternFill patternType="solid">
        <fgColor rgb="FFD9EAD3"/>
        <bgColor rgb="FFD9EAD3"/>
      </patternFill>
    </fill>
    <fill>
      <patternFill patternType="solid">
        <fgColor rgb="FF6FA8DC"/>
        <bgColor rgb="FF6FA8DC"/>
      </patternFill>
    </fill>
    <fill>
      <patternFill patternType="solid">
        <fgColor theme="9"/>
        <bgColor theme="9"/>
      </patternFill>
    </fill>
    <fill>
      <patternFill patternType="solid">
        <fgColor rgb="FF93C47D"/>
        <bgColor rgb="FF93C47D"/>
      </patternFill>
    </fill>
    <fill>
      <patternFill patternType="solid">
        <fgColor rgb="FFCC4125"/>
        <bgColor rgb="FFCC4125"/>
      </patternFill>
    </fill>
    <fill>
      <patternFill patternType="solid">
        <fgColor theme="0"/>
        <bgColor theme="0"/>
      </patternFill>
    </fill>
    <fill>
      <patternFill patternType="solid">
        <fgColor rgb="FFEFEFEF"/>
        <bgColor rgb="FFEFEFEF"/>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990000"/>
        <bgColor rgb="FF990000"/>
      </patternFill>
    </fill>
    <fill>
      <patternFill patternType="solid">
        <fgColor rgb="FFFFE599"/>
        <bgColor rgb="FFFFE599"/>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EBF1DE"/>
        <bgColor rgb="FFEBF1DE"/>
      </patternFill>
    </fill>
    <fill>
      <patternFill patternType="solid">
        <fgColor rgb="FFB4A7D6"/>
        <bgColor rgb="FFB4A7D6"/>
      </patternFill>
    </fill>
  </fills>
  <borders count="69">
    <border/>
    <border>
      <left/>
      <right/>
      <top/>
    </border>
    <border>
      <left/>
      <right/>
    </border>
    <border>
      <left style="thin">
        <color rgb="FFFFFFFF"/>
      </left>
      <right style="thin">
        <color rgb="FF000000"/>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rder>
    <border>
      <top style="medium">
        <color rgb="FF000000"/>
      </top>
      <bottom style="medium">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style="medium">
        <color rgb="FF000000"/>
      </top>
    </border>
    <border>
      <left style="medium">
        <color rgb="FF000000"/>
      </left>
      <top style="medium">
        <color rgb="FF000000"/>
      </top>
      <bottom/>
    </border>
    <border>
      <left style="medium">
        <color rgb="FF000000"/>
      </left>
      <right style="medium">
        <color rgb="FF000000"/>
      </right>
      <bottom/>
    </border>
    <border>
      <left style="medium">
        <color rgb="FF000000"/>
      </lef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left style="medium">
        <color theme="1"/>
      </left>
      <right style="medium">
        <color theme="1"/>
      </right>
      <top style="medium">
        <color theme="1"/>
      </top>
      <bottom style="medium">
        <color theme="1"/>
      </bottom>
    </border>
    <border>
      <left/>
      <right/>
      <top/>
      <bottom/>
    </border>
    <border>
      <right style="thin">
        <color rgb="FF000000"/>
      </right>
      <top style="thin">
        <color rgb="FF000000"/>
      </top>
    </border>
    <border>
      <left/>
      <right style="thin">
        <color rgb="FF000000"/>
      </right>
      <top style="thin">
        <color rgb="FF000000"/>
      </top>
      <bottom/>
    </border>
    <border>
      <left/>
      <right style="thin">
        <color rgb="FF000000"/>
      </right>
      <top/>
      <bottom style="thin">
        <color rgb="FF000000"/>
      </bottom>
    </border>
    <border>
      <top style="thin">
        <color rgb="FF000000"/>
      </top>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top style="medium">
        <color rgb="FF000000"/>
      </top>
    </border>
    <border>
      <left style="medium">
        <color rgb="FF000000"/>
      </left>
    </border>
    <border>
      <left style="medium">
        <color rgb="FF000000"/>
      </left>
      <right style="medium">
        <color rgb="FF000000"/>
      </right>
      <top/>
      <bottom style="medium">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vertical="center"/>
    </xf>
    <xf borderId="2" fillId="0" fontId="4" numFmtId="0" xfId="0" applyBorder="1" applyFont="1"/>
    <xf borderId="0" fillId="0" fontId="5" numFmtId="0" xfId="0" applyFont="1"/>
    <xf borderId="0" fillId="3" fontId="6" numFmtId="0" xfId="0" applyAlignment="1" applyFill="1" applyFont="1">
      <alignment horizontal="center" vertical="center"/>
    </xf>
    <xf borderId="0" fillId="0" fontId="7" numFmtId="0" xfId="0" applyFont="1"/>
    <xf borderId="0" fillId="0" fontId="8" numFmtId="49" xfId="0" applyFont="1" applyNumberFormat="1"/>
    <xf borderId="0" fillId="0" fontId="9" numFmtId="0" xfId="0" applyFont="1"/>
    <xf borderId="0" fillId="0" fontId="10" numFmtId="0" xfId="0" applyFont="1"/>
    <xf borderId="3" fillId="4" fontId="11" numFmtId="0" xfId="0" applyAlignment="1" applyBorder="1" applyFill="1" applyFont="1">
      <alignment horizontal="center" shrinkToFit="0" wrapText="0"/>
    </xf>
    <xf borderId="4" fillId="0" fontId="12" numFmtId="0" xfId="0" applyAlignment="1" applyBorder="1" applyFont="1">
      <alignment horizontal="center" readingOrder="0" shrinkToFit="0" vertical="top" wrapText="0"/>
    </xf>
    <xf borderId="5" fillId="0" fontId="4" numFmtId="0" xfId="0" applyBorder="1" applyFont="1"/>
    <xf borderId="0" fillId="0" fontId="13" numFmtId="0" xfId="0" applyAlignment="1" applyFont="1">
      <alignment horizontal="center" shrinkToFit="0" wrapText="0"/>
    </xf>
    <xf borderId="6" fillId="0" fontId="14" numFmtId="0" xfId="0" applyAlignment="1" applyBorder="1" applyFont="1">
      <alignment horizontal="center" shrinkToFit="0" vertical="top" wrapText="0"/>
    </xf>
    <xf borderId="7" fillId="0" fontId="4" numFmtId="0" xfId="0" applyBorder="1" applyFont="1"/>
    <xf borderId="6" fillId="0" fontId="14" numFmtId="0" xfId="0" applyAlignment="1" applyBorder="1" applyFont="1">
      <alignment horizontal="center" readingOrder="0" shrinkToFit="0" vertical="top" wrapText="0"/>
    </xf>
    <xf borderId="6" fillId="0" fontId="14" numFmtId="164" xfId="0" applyAlignment="1" applyBorder="1" applyFont="1" applyNumberFormat="1">
      <alignment horizontal="center" readingOrder="0" shrinkToFit="0" vertical="top" wrapText="0"/>
    </xf>
    <xf borderId="0" fillId="0" fontId="13" numFmtId="0" xfId="0" applyAlignment="1" applyFont="1">
      <alignment shrinkToFit="0" vertical="top" wrapText="0"/>
    </xf>
    <xf borderId="0" fillId="0" fontId="13" numFmtId="0" xfId="0" applyAlignment="1" applyFont="1">
      <alignment horizontal="left" shrinkToFit="0" wrapText="0"/>
    </xf>
    <xf borderId="6" fillId="0" fontId="13" numFmtId="0" xfId="0" applyAlignment="1" applyBorder="1" applyFont="1">
      <alignment horizontal="center" shrinkToFit="0" wrapText="0"/>
    </xf>
    <xf borderId="6" fillId="0" fontId="13" numFmtId="0" xfId="0" applyAlignment="1" applyBorder="1" applyFont="1">
      <alignment shrinkToFit="0" vertical="top" wrapText="0"/>
    </xf>
    <xf borderId="6" fillId="0" fontId="13" numFmtId="0" xfId="0" applyAlignment="1" applyBorder="1" applyFont="1">
      <alignment horizontal="left" shrinkToFit="0" wrapText="0"/>
    </xf>
    <xf borderId="8" fillId="5" fontId="15" numFmtId="0" xfId="0" applyAlignment="1" applyBorder="1" applyFill="1" applyFont="1">
      <alignment horizontal="center" shrinkToFit="0" vertical="center" wrapText="0"/>
    </xf>
    <xf borderId="9" fillId="5" fontId="15" numFmtId="0" xfId="0" applyAlignment="1" applyBorder="1" applyFont="1">
      <alignment horizontal="center" shrinkToFit="0" vertical="center" wrapText="0"/>
    </xf>
    <xf borderId="9" fillId="5" fontId="15" numFmtId="0" xfId="0" applyAlignment="1" applyBorder="1" applyFont="1">
      <alignment horizontal="left" shrinkToFit="0" vertical="center" wrapText="0"/>
    </xf>
    <xf borderId="10" fillId="0" fontId="4" numFmtId="0" xfId="0" applyBorder="1" applyFont="1"/>
    <xf borderId="10" fillId="0" fontId="14" numFmtId="0" xfId="0" applyAlignment="1" applyBorder="1" applyFont="1">
      <alignment horizontal="center" shrinkToFit="0" wrapText="0"/>
    </xf>
    <xf borderId="7" fillId="0" fontId="14" numFmtId="0" xfId="0" applyAlignment="1" applyBorder="1" applyFont="1">
      <alignment horizontal="center" shrinkToFit="0" wrapText="0"/>
    </xf>
    <xf borderId="7" fillId="0" fontId="13" numFmtId="0" xfId="0" applyAlignment="1" applyBorder="1" applyFont="1">
      <alignment horizontal="left"/>
    </xf>
    <xf borderId="7" fillId="0" fontId="13" numFmtId="0" xfId="0" applyAlignment="1" applyBorder="1" applyFont="1">
      <alignment horizontal="center" shrinkToFit="0" wrapText="0"/>
    </xf>
    <xf borderId="10" fillId="6" fontId="14" numFmtId="0" xfId="0" applyAlignment="1" applyBorder="1" applyFill="1" applyFont="1">
      <alignment horizontal="center" shrinkToFit="0" wrapText="0"/>
    </xf>
    <xf borderId="7" fillId="6" fontId="14" numFmtId="0" xfId="0" applyAlignment="1" applyBorder="1" applyFont="1">
      <alignment horizontal="center" shrinkToFit="0" wrapText="0"/>
    </xf>
    <xf borderId="7" fillId="6" fontId="13" numFmtId="0" xfId="0" applyAlignment="1" applyBorder="1" applyFont="1">
      <alignment horizontal="left"/>
    </xf>
    <xf borderId="7" fillId="6" fontId="13" numFmtId="0" xfId="0" applyAlignment="1" applyBorder="1" applyFont="1">
      <alignment horizontal="center" shrinkToFit="0" wrapText="0"/>
    </xf>
    <xf borderId="10" fillId="7" fontId="14" numFmtId="0" xfId="0" applyAlignment="1" applyBorder="1" applyFill="1" applyFont="1">
      <alignment horizontal="center" shrinkToFit="0" wrapText="0"/>
    </xf>
    <xf borderId="7" fillId="7" fontId="14" numFmtId="0" xfId="0" applyAlignment="1" applyBorder="1" applyFont="1">
      <alignment horizontal="center" shrinkToFit="0" wrapText="0"/>
    </xf>
    <xf borderId="7" fillId="7" fontId="13" numFmtId="0" xfId="0" applyAlignment="1" applyBorder="1" applyFont="1">
      <alignment horizontal="left"/>
    </xf>
    <xf borderId="7" fillId="7" fontId="13" numFmtId="0" xfId="0" applyAlignment="1" applyBorder="1" applyFont="1">
      <alignment horizontal="center" shrinkToFit="0" wrapText="0"/>
    </xf>
    <xf borderId="7" fillId="0" fontId="13" numFmtId="0" xfId="0" applyAlignment="1" applyBorder="1" applyFont="1">
      <alignment horizontal="left" readingOrder="0"/>
    </xf>
    <xf borderId="10" fillId="8" fontId="14" numFmtId="0" xfId="0" applyAlignment="1" applyBorder="1" applyFill="1" applyFont="1">
      <alignment horizontal="center" shrinkToFit="0" wrapText="0"/>
    </xf>
    <xf borderId="7" fillId="8" fontId="14" numFmtId="0" xfId="0" applyAlignment="1" applyBorder="1" applyFont="1">
      <alignment horizontal="center" shrinkToFit="0" wrapText="0"/>
    </xf>
    <xf borderId="7" fillId="8" fontId="13" numFmtId="0" xfId="0" applyAlignment="1" applyBorder="1" applyFont="1">
      <alignment horizontal="left"/>
    </xf>
    <xf borderId="7" fillId="8" fontId="13" numFmtId="0" xfId="0" applyAlignment="1" applyBorder="1" applyFont="1">
      <alignment horizontal="center" shrinkToFit="0" wrapText="0"/>
    </xf>
    <xf borderId="11" fillId="0" fontId="16" numFmtId="0" xfId="0" applyBorder="1" applyFont="1"/>
    <xf borderId="12" fillId="9" fontId="17" numFmtId="0" xfId="0" applyAlignment="1" applyBorder="1" applyFill="1" applyFont="1">
      <alignment horizontal="center" shrinkToFit="0" vertical="center" wrapText="1"/>
    </xf>
    <xf borderId="13" fillId="0" fontId="4" numFmtId="0" xfId="0" applyBorder="1" applyFont="1"/>
    <xf borderId="13" fillId="0" fontId="18" numFmtId="0" xfId="0" applyAlignment="1" applyBorder="1" applyFont="1">
      <alignment horizontal="center" readingOrder="0" shrinkToFit="0" vertical="center" wrapText="1"/>
    </xf>
    <xf borderId="14" fillId="9" fontId="17" numFmtId="0" xfId="0" applyAlignment="1" applyBorder="1" applyFont="1">
      <alignment horizontal="center" shrinkToFit="0" vertical="center" wrapText="1"/>
    </xf>
    <xf borderId="13" fillId="0" fontId="19" numFmtId="164" xfId="0" applyAlignment="1" applyBorder="1" applyFont="1" applyNumberFormat="1">
      <alignment horizontal="center" shrinkToFit="0" vertical="center" wrapText="1"/>
    </xf>
    <xf borderId="13" fillId="0" fontId="19" numFmtId="0" xfId="0" applyAlignment="1" applyBorder="1" applyFont="1">
      <alignment horizontal="center" shrinkToFit="0" vertical="center" wrapText="1"/>
    </xf>
    <xf borderId="0" fillId="0" fontId="20" numFmtId="0" xfId="0" applyAlignment="1" applyFont="1">
      <alignment horizontal="center" vertical="top"/>
    </xf>
    <xf borderId="0" fillId="0" fontId="21" numFmtId="0" xfId="0" applyAlignment="1" applyFont="1">
      <alignment horizontal="left"/>
    </xf>
    <xf borderId="0" fillId="0" fontId="22" numFmtId="0" xfId="0" applyAlignment="1" applyFont="1">
      <alignment horizontal="center" shrinkToFit="0" vertical="center" wrapText="1"/>
    </xf>
    <xf borderId="0" fillId="0" fontId="21" numFmtId="0" xfId="0" applyAlignment="1" applyFont="1">
      <alignment shrinkToFit="0" wrapText="1"/>
    </xf>
    <xf borderId="15" fillId="10" fontId="23" numFmtId="0" xfId="0" applyAlignment="1" applyBorder="1" applyFill="1" applyFont="1">
      <alignment horizontal="center" shrinkToFit="0" vertical="center" wrapText="1"/>
    </xf>
    <xf borderId="16" fillId="10" fontId="17" numFmtId="0" xfId="0" applyAlignment="1" applyBorder="1" applyFont="1">
      <alignment horizontal="center" shrinkToFit="0" vertical="center" wrapText="1"/>
    </xf>
    <xf borderId="0" fillId="0" fontId="21" numFmtId="0" xfId="0" applyFont="1"/>
    <xf borderId="17" fillId="0" fontId="19" numFmtId="0" xfId="0" applyAlignment="1" applyBorder="1" applyFont="1">
      <alignment horizontal="center" shrinkToFit="0" vertical="center" wrapText="1"/>
    </xf>
    <xf borderId="18" fillId="9" fontId="17" numFmtId="0" xfId="0" applyAlignment="1" applyBorder="1" applyFont="1">
      <alignment horizontal="center" shrinkToFit="0" vertical="center" wrapText="1"/>
    </xf>
    <xf borderId="17" fillId="0" fontId="19" numFmtId="0" xfId="0" applyAlignment="1" applyBorder="1" applyFont="1">
      <alignment horizontal="center" vertical="center"/>
    </xf>
    <xf borderId="19" fillId="11" fontId="24" numFmtId="0" xfId="0" applyAlignment="1" applyBorder="1" applyFill="1" applyFont="1">
      <alignment horizontal="center" shrinkToFit="0" vertical="center" wrapText="1"/>
    </xf>
    <xf borderId="20" fillId="12" fontId="25" numFmtId="0" xfId="0" applyAlignment="1" applyBorder="1" applyFill="1" applyFont="1">
      <alignment horizontal="center" shrinkToFit="0" vertical="center" wrapText="1"/>
    </xf>
    <xf borderId="17" fillId="0" fontId="19" numFmtId="0" xfId="0" applyAlignment="1" applyBorder="1" applyFont="1">
      <alignment horizontal="center" readingOrder="0" shrinkToFit="0" vertical="center" wrapText="1"/>
    </xf>
    <xf borderId="19" fillId="13" fontId="26" numFmtId="0" xfId="0" applyAlignment="1" applyBorder="1" applyFill="1" applyFont="1">
      <alignment horizontal="center" shrinkToFit="0" vertical="center" wrapText="1"/>
    </xf>
    <xf borderId="21" fillId="5" fontId="27" numFmtId="0" xfId="0" applyAlignment="1" applyBorder="1" applyFont="1">
      <alignment horizontal="center" shrinkToFit="0" vertical="center" wrapText="1"/>
    </xf>
    <xf borderId="12" fillId="14" fontId="17" numFmtId="0" xfId="0" applyAlignment="1" applyBorder="1" applyFill="1" applyFont="1">
      <alignment horizontal="center" shrinkToFit="0" vertical="center" wrapText="1"/>
    </xf>
    <xf borderId="12" fillId="7" fontId="19" numFmtId="0" xfId="0" applyAlignment="1" applyBorder="1" applyFont="1">
      <alignment shrinkToFit="0" vertical="center" wrapText="1"/>
    </xf>
    <xf borderId="22" fillId="0" fontId="4" numFmtId="0" xfId="0" applyBorder="1" applyFont="1"/>
    <xf borderId="11" fillId="15" fontId="27" numFmtId="0" xfId="0" applyAlignment="1" applyBorder="1" applyFill="1" applyFont="1">
      <alignment horizontal="center" shrinkToFit="0" vertical="center" wrapText="1"/>
    </xf>
    <xf borderId="22" fillId="16" fontId="25" numFmtId="0" xfId="0" applyAlignment="1" applyBorder="1" applyFill="1" applyFont="1">
      <alignment horizontal="center" shrinkToFit="0" vertical="center" wrapText="1"/>
    </xf>
    <xf borderId="0" fillId="0" fontId="28" numFmtId="0" xfId="0" applyAlignment="1" applyFont="1">
      <alignment horizontal="left"/>
    </xf>
    <xf borderId="0" fillId="0" fontId="29" numFmtId="0" xfId="0" applyAlignment="1" applyFont="1">
      <alignment horizontal="left" vertical="center"/>
    </xf>
    <xf borderId="0" fillId="0" fontId="28" numFmtId="0" xfId="0" applyAlignment="1" applyFont="1">
      <alignment horizontal="center" shrinkToFit="0" vertical="center" wrapText="1"/>
    </xf>
    <xf borderId="0" fillId="0" fontId="28" numFmtId="0" xfId="0" applyAlignment="1" applyFont="1">
      <alignment horizontal="center" vertical="center"/>
    </xf>
    <xf borderId="0" fillId="0" fontId="28" numFmtId="0" xfId="0" applyAlignment="1" applyFont="1">
      <alignment horizontal="left" shrinkToFit="0" vertical="center" wrapText="1"/>
    </xf>
    <xf borderId="23" fillId="17" fontId="27" numFmtId="0" xfId="0" applyAlignment="1" applyBorder="1" applyFill="1" applyFont="1">
      <alignment horizontal="center" shrinkToFit="0" vertical="center" wrapText="1"/>
    </xf>
    <xf borderId="24" fillId="17" fontId="27" numFmtId="0" xfId="0" applyAlignment="1" applyBorder="1" applyFont="1">
      <alignment horizontal="center" shrinkToFit="0" vertical="center" wrapText="1"/>
    </xf>
    <xf borderId="25" fillId="5" fontId="30" numFmtId="0" xfId="0" applyAlignment="1" applyBorder="1" applyFont="1">
      <alignment horizontal="center" vertical="center"/>
    </xf>
    <xf borderId="25" fillId="5" fontId="30" numFmtId="0" xfId="0" applyAlignment="1" applyBorder="1" applyFont="1">
      <alignment horizontal="center" shrinkToFit="0" vertical="center" wrapText="1"/>
    </xf>
    <xf borderId="25" fillId="5" fontId="30" numFmtId="0" xfId="0" applyAlignment="1" applyBorder="1" applyFont="1">
      <alignment horizontal="left" shrinkToFit="0" vertical="center" wrapText="1"/>
    </xf>
    <xf borderId="25" fillId="5" fontId="26" numFmtId="0" xfId="0" applyAlignment="1" applyBorder="1" applyFont="1">
      <alignment horizontal="center" shrinkToFit="0" vertical="center" wrapText="1"/>
    </xf>
    <xf borderId="25" fillId="5" fontId="31" numFmtId="0" xfId="0" applyAlignment="1" applyBorder="1" applyFont="1">
      <alignment horizontal="center" shrinkToFit="0" vertical="center" wrapText="1"/>
    </xf>
    <xf borderId="25" fillId="5" fontId="32" numFmtId="0" xfId="0" applyAlignment="1" applyBorder="1" applyFont="1">
      <alignment horizontal="center" shrinkToFit="0" vertical="center" wrapText="1"/>
    </xf>
    <xf borderId="25" fillId="5" fontId="31" numFmtId="0" xfId="0" applyAlignment="1" applyBorder="1" applyFont="1">
      <alignment horizontal="center" vertical="center"/>
    </xf>
    <xf borderId="26" fillId="0" fontId="33" numFmtId="0" xfId="0" applyAlignment="1" applyBorder="1" applyFont="1">
      <alignment horizontal="center" vertical="center"/>
    </xf>
    <xf borderId="27" fillId="6" fontId="13" numFmtId="0" xfId="0" applyAlignment="1" applyBorder="1" applyFont="1">
      <alignment horizontal="center" shrinkToFit="0" vertical="center" wrapText="1"/>
    </xf>
    <xf borderId="27" fillId="6" fontId="24" numFmtId="0" xfId="0" applyAlignment="1" applyBorder="1" applyFont="1">
      <alignment horizontal="center" shrinkToFit="0" vertical="center" wrapText="1"/>
    </xf>
    <xf borderId="27" fillId="6" fontId="34" numFmtId="0" xfId="0" applyAlignment="1" applyBorder="1" applyFont="1">
      <alignment horizontal="center" shrinkToFit="0" vertical="center" wrapText="1"/>
    </xf>
    <xf borderId="27" fillId="6" fontId="13" numFmtId="0" xfId="0" applyAlignment="1" applyBorder="1" applyFont="1">
      <alignment horizontal="left" shrinkToFit="0" vertical="center" wrapText="1"/>
    </xf>
    <xf borderId="27" fillId="6" fontId="13" numFmtId="0" xfId="0" applyAlignment="1" applyBorder="1" applyFont="1">
      <alignment horizontal="left" shrinkToFit="0" vertical="top" wrapText="1"/>
    </xf>
    <xf borderId="27" fillId="6" fontId="35" numFmtId="0" xfId="0" applyAlignment="1" applyBorder="1" applyFont="1">
      <alignment horizontal="left" shrinkToFit="0" vertical="center" wrapText="1"/>
    </xf>
    <xf borderId="27" fillId="6" fontId="24" numFmtId="0" xfId="0" applyAlignment="1" applyBorder="1" applyFont="1">
      <alignment horizontal="center" shrinkToFit="0" vertical="top" wrapText="1"/>
    </xf>
    <xf borderId="27" fillId="0" fontId="16" numFmtId="0" xfId="0" applyAlignment="1" applyBorder="1" applyFont="1">
      <alignment horizontal="center" readingOrder="0" shrinkToFit="0" vertical="center" wrapText="1"/>
    </xf>
    <xf borderId="27" fillId="6" fontId="36" numFmtId="0" xfId="0" applyAlignment="1" applyBorder="1" applyFont="1">
      <alignment horizontal="center" shrinkToFit="0" vertical="center" wrapText="1"/>
    </xf>
    <xf borderId="27" fillId="6" fontId="21" numFmtId="0" xfId="0" applyAlignment="1" applyBorder="1" applyFont="1">
      <alignment shrinkToFit="0" wrapText="1"/>
    </xf>
    <xf borderId="28" fillId="8" fontId="13" numFmtId="0" xfId="0" applyAlignment="1" applyBorder="1" applyFont="1">
      <alignment horizontal="center" vertical="center"/>
    </xf>
    <xf borderId="28" fillId="8" fontId="13" numFmtId="0" xfId="0" applyAlignment="1" applyBorder="1" applyFont="1">
      <alignment horizontal="center" shrinkToFit="0" vertical="center" wrapText="1"/>
    </xf>
    <xf borderId="27" fillId="8" fontId="34" numFmtId="0" xfId="0" applyAlignment="1" applyBorder="1" applyFont="1">
      <alignment horizontal="center" vertical="center"/>
    </xf>
    <xf borderId="27" fillId="8" fontId="34" numFmtId="0" xfId="0" applyAlignment="1" applyBorder="1" applyFont="1">
      <alignment horizontal="left" shrinkToFit="0" vertical="center" wrapText="1"/>
    </xf>
    <xf borderId="27" fillId="8" fontId="34" numFmtId="0" xfId="0" applyAlignment="1" applyBorder="1" applyFont="1">
      <alignment horizontal="center" shrinkToFit="0" vertical="center" wrapText="1"/>
    </xf>
    <xf borderId="27" fillId="8" fontId="24" numFmtId="0" xfId="0" applyAlignment="1" applyBorder="1" applyFont="1">
      <alignment horizontal="left" shrinkToFit="0" vertical="top" wrapText="1"/>
    </xf>
    <xf borderId="27" fillId="8" fontId="35" numFmtId="0" xfId="0" applyAlignment="1" applyBorder="1" applyFont="1">
      <alignment horizontal="left" shrinkToFit="0" vertical="center" wrapText="1"/>
    </xf>
    <xf borderId="27" fillId="8" fontId="24" numFmtId="0" xfId="0" applyAlignment="1" applyBorder="1" applyFont="1">
      <alignment horizontal="center" shrinkToFit="0" vertical="top" wrapText="1"/>
    </xf>
    <xf borderId="27" fillId="8" fontId="24" numFmtId="0" xfId="0" applyAlignment="1" applyBorder="1" applyFont="1">
      <alignment horizontal="center" vertical="center"/>
    </xf>
    <xf borderId="27" fillId="8" fontId="36" numFmtId="0" xfId="0" applyAlignment="1" applyBorder="1" applyFont="1">
      <alignment horizontal="center" vertical="center"/>
    </xf>
    <xf borderId="27" fillId="0" fontId="21" numFmtId="0" xfId="0" applyBorder="1" applyFont="1"/>
    <xf borderId="28" fillId="6" fontId="13" numFmtId="0" xfId="0" applyAlignment="1" applyBorder="1" applyFont="1">
      <alignment horizontal="center" vertical="center"/>
    </xf>
    <xf borderId="28" fillId="6" fontId="13" numFmtId="0" xfId="0" applyAlignment="1" applyBorder="1" applyFont="1">
      <alignment horizontal="center" readingOrder="0" shrinkToFit="0" vertical="center" wrapText="1"/>
    </xf>
    <xf borderId="28" fillId="6" fontId="13" numFmtId="0" xfId="0" applyAlignment="1" applyBorder="1" applyFont="1">
      <alignment horizontal="center" shrinkToFit="0" vertical="center" wrapText="1"/>
    </xf>
    <xf borderId="29" fillId="0" fontId="37" numFmtId="0" xfId="0" applyAlignment="1" applyBorder="1" applyFont="1">
      <alignment horizontal="center" readingOrder="0" vertical="center"/>
    </xf>
    <xf borderId="27" fillId="6" fontId="13" numFmtId="0" xfId="0" applyAlignment="1" applyBorder="1" applyFont="1">
      <alignment horizontal="left" readingOrder="0" shrinkToFit="0" vertical="center" wrapText="1"/>
    </xf>
    <xf borderId="27" fillId="6" fontId="26" numFmtId="0" xfId="0" applyAlignment="1" applyBorder="1" applyFont="1">
      <alignment horizontal="center" shrinkToFit="0" vertical="top" wrapText="1"/>
    </xf>
    <xf borderId="27" fillId="0" fontId="16" numFmtId="0" xfId="0" applyAlignment="1" applyBorder="1" applyFont="1">
      <alignment horizontal="center" vertical="center"/>
    </xf>
    <xf borderId="27" fillId="6" fontId="38" numFmtId="0" xfId="0" applyAlignment="1" applyBorder="1" applyFont="1">
      <alignment horizontal="center" vertical="center"/>
    </xf>
    <xf borderId="27" fillId="6" fontId="39" numFmtId="0" xfId="0" applyBorder="1" applyFont="1"/>
    <xf borderId="29" fillId="0" fontId="4" numFmtId="0" xfId="0" applyBorder="1" applyFont="1"/>
    <xf borderId="30" fillId="0" fontId="16" numFmtId="0" xfId="0" applyAlignment="1" applyBorder="1" applyFont="1">
      <alignment horizontal="left" readingOrder="0" shrinkToFit="0" vertical="center" wrapText="1"/>
    </xf>
    <xf borderId="13" fillId="6" fontId="13" numFmtId="0" xfId="0" applyAlignment="1" applyBorder="1" applyFont="1">
      <alignment horizontal="left" readingOrder="0" shrinkToFit="0" vertical="center" wrapText="1"/>
    </xf>
    <xf borderId="27" fillId="6" fontId="40" numFmtId="0" xfId="0" applyAlignment="1" applyBorder="1" applyFont="1">
      <alignment horizontal="left" shrinkToFit="0" vertical="center" wrapText="1"/>
    </xf>
    <xf borderId="27" fillId="6" fontId="41" numFmtId="0" xfId="0" applyAlignment="1" applyBorder="1" applyFont="1">
      <alignment horizontal="center" shrinkToFit="0" vertical="center" wrapText="1"/>
    </xf>
    <xf borderId="27" fillId="6" fontId="42" numFmtId="0" xfId="0" applyAlignment="1" applyBorder="1" applyFont="1">
      <alignment horizontal="left" vertical="center"/>
    </xf>
    <xf borderId="11" fillId="0" fontId="13" numFmtId="0" xfId="0" applyAlignment="1" applyBorder="1" applyFont="1">
      <alignment readingOrder="0"/>
    </xf>
    <xf borderId="30" fillId="6" fontId="13" numFmtId="0" xfId="0" applyAlignment="1" applyBorder="1" applyFont="1">
      <alignment horizontal="center" shrinkToFit="0" vertical="center" wrapText="1"/>
    </xf>
    <xf borderId="27" fillId="6" fontId="16" numFmtId="0" xfId="0" applyAlignment="1" applyBorder="1" applyFont="1">
      <alignment shrinkToFit="0" wrapText="1"/>
    </xf>
    <xf borderId="31" fillId="6" fontId="13" numFmtId="0" xfId="0" applyAlignment="1" applyBorder="1" applyFont="1">
      <alignment horizontal="center" vertical="center"/>
    </xf>
    <xf borderId="0" fillId="0" fontId="13" numFmtId="0" xfId="0" applyAlignment="1" applyFont="1">
      <alignment readingOrder="0"/>
    </xf>
    <xf borderId="27" fillId="6" fontId="43" numFmtId="0" xfId="0" applyAlignment="1" applyBorder="1" applyFont="1">
      <alignment horizontal="left" shrinkToFit="0" vertical="top" wrapText="1"/>
    </xf>
    <xf borderId="27" fillId="6" fontId="44" numFmtId="0" xfId="0" applyAlignment="1" applyBorder="1" applyFont="1">
      <alignment horizontal="left" shrinkToFit="0" vertical="center" wrapText="1"/>
    </xf>
    <xf borderId="32" fillId="6" fontId="13" numFmtId="0" xfId="0" applyAlignment="1" applyBorder="1" applyFont="1">
      <alignment horizontal="center" shrinkToFit="0" vertical="center" wrapText="1"/>
    </xf>
    <xf borderId="27" fillId="6" fontId="45" numFmtId="0" xfId="0" applyAlignment="1" applyBorder="1" applyFont="1">
      <alignment horizontal="left" shrinkToFit="0" vertical="center" wrapText="1"/>
    </xf>
    <xf borderId="27" fillId="18" fontId="16" numFmtId="0" xfId="0" applyAlignment="1" applyBorder="1" applyFill="1" applyFont="1">
      <alignment horizontal="center" vertical="center"/>
    </xf>
    <xf borderId="27" fillId="0" fontId="13" numFmtId="0" xfId="0" applyAlignment="1" applyBorder="1" applyFont="1">
      <alignment horizontal="left" shrinkToFit="0" vertical="center" wrapText="1"/>
    </xf>
    <xf borderId="27" fillId="0" fontId="13" numFmtId="0" xfId="0" applyAlignment="1" applyBorder="1" applyFont="1">
      <alignment horizontal="center" shrinkToFit="0" vertical="center" wrapText="1"/>
    </xf>
    <xf borderId="27" fillId="0" fontId="46" numFmtId="0" xfId="0" applyAlignment="1" applyBorder="1" applyFont="1">
      <alignment horizontal="left" shrinkToFit="0" vertical="top" wrapText="1"/>
    </xf>
    <xf borderId="27" fillId="0" fontId="40" numFmtId="0" xfId="0" applyAlignment="1" applyBorder="1" applyFont="1">
      <alignment horizontal="left" shrinkToFit="0" vertical="center" wrapText="1"/>
    </xf>
    <xf borderId="27" fillId="0" fontId="47" numFmtId="0" xfId="0" applyAlignment="1" applyBorder="1" applyFont="1">
      <alignment horizontal="center" shrinkToFit="0" vertical="center" wrapText="1"/>
    </xf>
    <xf borderId="27" fillId="19" fontId="16" numFmtId="0" xfId="0" applyAlignment="1" applyBorder="1" applyFill="1" applyFont="1">
      <alignment horizontal="center" vertical="center"/>
    </xf>
    <xf borderId="27" fillId="0" fontId="29" numFmtId="0" xfId="0" applyAlignment="1" applyBorder="1" applyFont="1">
      <alignment horizontal="left" shrinkToFit="0" vertical="center" wrapText="1"/>
    </xf>
    <xf borderId="27" fillId="0" fontId="29" numFmtId="0" xfId="0" applyAlignment="1" applyBorder="1" applyFont="1">
      <alignment horizontal="left" vertical="center"/>
    </xf>
    <xf borderId="27" fillId="0" fontId="48" numFmtId="0" xfId="0" applyAlignment="1" applyBorder="1" applyFont="1">
      <alignment horizontal="left" shrinkToFit="0" vertical="center" wrapText="1"/>
    </xf>
    <xf borderId="27" fillId="0" fontId="13" numFmtId="0" xfId="0" applyAlignment="1" applyBorder="1" applyFont="1">
      <alignment horizontal="left" shrinkToFit="0" vertical="top" wrapText="1"/>
    </xf>
    <xf borderId="27" fillId="0" fontId="49" numFmtId="0" xfId="0" applyAlignment="1" applyBorder="1" applyFont="1">
      <alignment horizontal="left" shrinkToFit="0" vertical="center" wrapText="1"/>
    </xf>
    <xf borderId="30" fillId="6" fontId="13" numFmtId="0" xfId="0" applyAlignment="1" applyBorder="1" applyFont="1">
      <alignment horizontal="center" vertical="center"/>
    </xf>
    <xf borderId="27" fillId="6" fontId="13" numFmtId="0" xfId="0" applyAlignment="1" applyBorder="1" applyFont="1">
      <alignment horizontal="center" vertical="center"/>
    </xf>
    <xf borderId="32" fillId="6" fontId="13" numFmtId="0" xfId="0" applyAlignment="1" applyBorder="1" applyFont="1">
      <alignment horizontal="center" vertical="center"/>
    </xf>
    <xf borderId="27" fillId="20" fontId="16" numFmtId="0" xfId="0" applyAlignment="1" applyBorder="1" applyFill="1" applyFont="1">
      <alignment horizontal="center" vertical="center"/>
    </xf>
    <xf borderId="31" fillId="8" fontId="13" numFmtId="0" xfId="0" applyAlignment="1" applyBorder="1" applyFont="1">
      <alignment horizontal="center" shrinkToFit="0" vertical="center" wrapText="1"/>
    </xf>
    <xf borderId="27" fillId="8" fontId="50" numFmtId="0" xfId="0" applyAlignment="1" applyBorder="1" applyFont="1">
      <alignment horizontal="center" vertical="center"/>
    </xf>
    <xf borderId="13" fillId="8" fontId="13" numFmtId="0" xfId="0" applyAlignment="1" applyBorder="1" applyFont="1">
      <alignment horizontal="left" shrinkToFit="0" vertical="center" wrapText="1"/>
    </xf>
    <xf borderId="27" fillId="8" fontId="13" numFmtId="0" xfId="0" applyAlignment="1" applyBorder="1" applyFont="1">
      <alignment horizontal="left" shrinkToFit="0" vertical="center" wrapText="1"/>
    </xf>
    <xf borderId="27" fillId="8" fontId="16" numFmtId="0" xfId="0" applyAlignment="1" applyBorder="1" applyFont="1">
      <alignment horizontal="center" vertical="center"/>
    </xf>
    <xf borderId="27" fillId="8" fontId="13" numFmtId="0" xfId="0" applyAlignment="1" applyBorder="1" applyFont="1">
      <alignment horizontal="left" shrinkToFit="0" vertical="top" wrapText="1"/>
    </xf>
    <xf borderId="27" fillId="8" fontId="40" numFmtId="0" xfId="0" applyAlignment="1" applyBorder="1" applyFont="1">
      <alignment horizontal="left" shrinkToFit="0" vertical="center" wrapText="1"/>
    </xf>
    <xf borderId="27" fillId="8" fontId="47" numFmtId="0" xfId="0" applyAlignment="1" applyBorder="1" applyFont="1">
      <alignment horizontal="center" shrinkToFit="0" vertical="top" wrapText="1"/>
    </xf>
    <xf borderId="27" fillId="8" fontId="48" numFmtId="0" xfId="0" applyAlignment="1" applyBorder="1" applyFont="1">
      <alignment horizontal="left" shrinkToFit="0" vertical="center" wrapText="1"/>
    </xf>
    <xf borderId="30" fillId="0" fontId="13" numFmtId="0" xfId="0" applyAlignment="1" applyBorder="1" applyFont="1">
      <alignment horizontal="center" shrinkToFit="0" vertical="center" wrapText="1"/>
    </xf>
    <xf borderId="33" fillId="0" fontId="13" numFmtId="0" xfId="0" applyAlignment="1" applyBorder="1" applyFont="1">
      <alignment horizontal="center" shrinkToFit="0" vertical="center" wrapText="1"/>
    </xf>
    <xf borderId="30" fillId="0" fontId="50" numFmtId="0" xfId="0" applyAlignment="1" applyBorder="1" applyFont="1">
      <alignment horizontal="center" vertical="center"/>
    </xf>
    <xf borderId="13" fillId="0" fontId="13" numFmtId="0" xfId="0" applyAlignment="1" applyBorder="1" applyFont="1">
      <alignment horizontal="left" shrinkToFit="0" vertical="center" wrapText="1"/>
    </xf>
    <xf borderId="27" fillId="0" fontId="47" numFmtId="0" xfId="0" applyAlignment="1" applyBorder="1" applyFont="1">
      <alignment horizontal="center" shrinkToFit="0" vertical="top" wrapText="1"/>
    </xf>
    <xf borderId="34" fillId="0" fontId="4" numFmtId="0" xfId="0" applyBorder="1" applyFont="1"/>
    <xf borderId="0" fillId="0" fontId="16" numFmtId="0" xfId="0" applyAlignment="1" applyFont="1">
      <alignment horizontal="left" vertical="center"/>
    </xf>
    <xf borderId="35" fillId="0" fontId="4" numFmtId="0" xfId="0" applyBorder="1" applyFont="1"/>
    <xf borderId="34" fillId="0" fontId="50" numFmtId="0" xfId="0" applyAlignment="1" applyBorder="1" applyFont="1">
      <alignment horizontal="center" vertical="center"/>
    </xf>
    <xf borderId="30" fillId="0" fontId="13" numFmtId="0" xfId="0" applyAlignment="1" applyBorder="1" applyFont="1">
      <alignment horizontal="left" shrinkToFit="0" vertical="center" wrapText="1"/>
    </xf>
    <xf borderId="30" fillId="6" fontId="13" numFmtId="0" xfId="0" applyAlignment="1" applyBorder="1" applyFont="1">
      <alignment horizontal="left" shrinkToFit="0" vertical="center" wrapText="1"/>
    </xf>
    <xf borderId="30" fillId="0" fontId="13" numFmtId="0" xfId="0" applyAlignment="1" applyBorder="1" applyFont="1">
      <alignment horizontal="left" shrinkToFit="0" vertical="top" wrapText="1"/>
    </xf>
    <xf borderId="30" fillId="0" fontId="40" numFmtId="0" xfId="0" applyAlignment="1" applyBorder="1" applyFont="1">
      <alignment horizontal="left" shrinkToFit="0" vertical="center" wrapText="1"/>
    </xf>
    <xf borderId="30" fillId="0" fontId="51" numFmtId="0" xfId="0" applyAlignment="1" applyBorder="1" applyFont="1">
      <alignment horizontal="center" shrinkToFit="0" vertical="center" wrapText="1"/>
    </xf>
    <xf borderId="30" fillId="19" fontId="16" numFmtId="0" xfId="0" applyAlignment="1" applyBorder="1" applyFont="1">
      <alignment horizontal="center" vertical="center"/>
    </xf>
    <xf borderId="30" fillId="0" fontId="48" numFmtId="0" xfId="0" applyAlignment="1" applyBorder="1" applyFont="1">
      <alignment horizontal="left" shrinkToFit="0" vertical="center" wrapText="1"/>
    </xf>
    <xf borderId="30" fillId="0" fontId="29" numFmtId="0" xfId="0" applyAlignment="1" applyBorder="1" applyFont="1">
      <alignment horizontal="left" vertical="center"/>
    </xf>
    <xf borderId="30" fillId="0" fontId="21" numFmtId="0" xfId="0" applyBorder="1" applyFont="1"/>
    <xf borderId="27" fillId="0" fontId="16" numFmtId="0" xfId="0" applyAlignment="1" applyBorder="1" applyFont="1">
      <alignment horizontal="left" shrinkToFit="0" vertical="center" wrapText="1"/>
    </xf>
    <xf borderId="27" fillId="21" fontId="40" numFmtId="0" xfId="0" applyAlignment="1" applyBorder="1" applyFill="1" applyFont="1">
      <alignment horizontal="left" shrinkToFit="0" vertical="center" wrapText="1"/>
    </xf>
    <xf borderId="35" fillId="0" fontId="13" numFmtId="0" xfId="0" applyAlignment="1" applyBorder="1" applyFont="1">
      <alignment horizontal="left" shrinkToFit="0" vertical="center" wrapText="1"/>
    </xf>
    <xf borderId="35" fillId="6" fontId="13" numFmtId="0" xfId="0" applyAlignment="1" applyBorder="1" applyFont="1">
      <alignment horizontal="left" shrinkToFit="0" vertical="center" wrapText="1"/>
    </xf>
    <xf borderId="35" fillId="0" fontId="13" numFmtId="0" xfId="0" applyAlignment="1" applyBorder="1" applyFont="1">
      <alignment horizontal="center" shrinkToFit="0" vertical="center" wrapText="1"/>
    </xf>
    <xf borderId="35" fillId="0" fontId="13" numFmtId="0" xfId="0" applyAlignment="1" applyBorder="1" applyFont="1">
      <alignment horizontal="left" shrinkToFit="0" vertical="top" wrapText="1"/>
    </xf>
    <xf borderId="35" fillId="0" fontId="52" numFmtId="0" xfId="0" applyAlignment="1" applyBorder="1" applyFont="1">
      <alignment horizontal="left" shrinkToFit="0" vertical="center" wrapText="1"/>
    </xf>
    <xf borderId="35" fillId="0" fontId="47" numFmtId="0" xfId="0" applyAlignment="1" applyBorder="1" applyFont="1">
      <alignment horizontal="center" shrinkToFit="0" vertical="center" wrapText="1"/>
    </xf>
    <xf borderId="35" fillId="19" fontId="16" numFmtId="0" xfId="0" applyAlignment="1" applyBorder="1" applyFont="1">
      <alignment horizontal="center" vertical="center"/>
    </xf>
    <xf borderId="35" fillId="0" fontId="48" numFmtId="0" xfId="0" applyAlignment="1" applyBorder="1" applyFont="1">
      <alignment horizontal="left" shrinkToFit="0" vertical="center" wrapText="1"/>
    </xf>
    <xf borderId="35" fillId="0" fontId="29" numFmtId="0" xfId="0" applyAlignment="1" applyBorder="1" applyFont="1">
      <alignment horizontal="left" vertical="center"/>
    </xf>
    <xf borderId="35" fillId="0" fontId="21" numFmtId="0" xfId="0" applyBorder="1" applyFont="1"/>
    <xf borderId="12" fillId="0" fontId="13" numFmtId="0" xfId="0" applyAlignment="1" applyBorder="1" applyFont="1">
      <alignment horizontal="left" shrinkToFit="0" vertical="top" wrapText="1"/>
    </xf>
    <xf borderId="27" fillId="0" fontId="53" numFmtId="0" xfId="0" applyAlignment="1" applyBorder="1" applyFont="1">
      <alignment horizontal="left" vertical="center"/>
    </xf>
    <xf borderId="35" fillId="0" fontId="40" numFmtId="0" xfId="0" applyAlignment="1" applyBorder="1" applyFont="1">
      <alignment horizontal="left" shrinkToFit="0" vertical="center" wrapText="1"/>
    </xf>
    <xf borderId="0" fillId="0" fontId="13" numFmtId="0" xfId="0" applyAlignment="1" applyFont="1">
      <alignment horizontal="center" shrinkToFit="0" vertical="center" wrapText="1"/>
    </xf>
    <xf borderId="12" fillId="0" fontId="13" numFmtId="0" xfId="0" applyAlignment="1" applyBorder="1" applyFont="1">
      <alignment horizontal="left" shrinkToFit="0" vertical="center" wrapText="1"/>
    </xf>
    <xf borderId="13" fillId="0" fontId="13" numFmtId="0" xfId="0" applyAlignment="1" applyBorder="1" applyFont="1">
      <alignment horizontal="left" shrinkToFit="0" vertical="top" wrapText="1"/>
    </xf>
    <xf borderId="27" fillId="19" fontId="13" numFmtId="0" xfId="0" applyAlignment="1" applyBorder="1" applyFont="1">
      <alignment horizontal="center" vertical="center"/>
    </xf>
    <xf borderId="27" fillId="6" fontId="16" numFmtId="0" xfId="0" applyAlignment="1" applyBorder="1" applyFont="1">
      <alignment horizontal="left" shrinkToFit="0" vertical="center" wrapText="1"/>
    </xf>
    <xf borderId="27" fillId="0" fontId="48" numFmtId="0" xfId="0" applyAlignment="1" applyBorder="1" applyFont="1">
      <alignment horizontal="left" vertical="center"/>
    </xf>
    <xf borderId="28" fillId="8" fontId="54" numFmtId="0" xfId="0" applyAlignment="1" applyBorder="1" applyFont="1">
      <alignment horizontal="center" vertical="center"/>
    </xf>
    <xf borderId="28" fillId="8" fontId="54" numFmtId="0" xfId="0" applyAlignment="1" applyBorder="1" applyFont="1">
      <alignment horizontal="center" shrinkToFit="0" vertical="center" wrapText="1"/>
    </xf>
    <xf borderId="27" fillId="8" fontId="55" numFmtId="0" xfId="0" applyAlignment="1" applyBorder="1" applyFont="1">
      <alignment horizontal="center" vertical="center"/>
    </xf>
    <xf borderId="27" fillId="8" fontId="54" numFmtId="0" xfId="0" applyAlignment="1" applyBorder="1" applyFont="1">
      <alignment horizontal="left" shrinkToFit="0" vertical="center" wrapText="1"/>
    </xf>
    <xf borderId="27" fillId="8" fontId="54" numFmtId="0" xfId="0" applyAlignment="1" applyBorder="1" applyFont="1">
      <alignment horizontal="center" shrinkToFit="0" vertical="center" wrapText="1"/>
    </xf>
    <xf borderId="27" fillId="8" fontId="54" numFmtId="0" xfId="0" applyAlignment="1" applyBorder="1" applyFont="1">
      <alignment horizontal="left" shrinkToFit="0" vertical="top" wrapText="1"/>
    </xf>
    <xf borderId="27" fillId="8" fontId="54" numFmtId="0" xfId="0" applyAlignment="1" applyBorder="1" applyFont="1">
      <alignment horizontal="center" vertical="center"/>
    </xf>
    <xf borderId="27" fillId="8" fontId="56" numFmtId="0" xfId="0" applyAlignment="1" applyBorder="1" applyFont="1">
      <alignment horizontal="left" vertical="center"/>
    </xf>
    <xf borderId="27" fillId="22" fontId="57" numFmtId="0" xfId="0" applyAlignment="1" applyBorder="1" applyFill="1" applyFont="1">
      <alignment horizontal="left" vertical="center"/>
    </xf>
    <xf borderId="27" fillId="22" fontId="58" numFmtId="0" xfId="0" applyBorder="1" applyFont="1"/>
    <xf borderId="27" fillId="8" fontId="13" numFmtId="0" xfId="0" applyAlignment="1" applyBorder="1" applyFont="1">
      <alignment horizontal="center" shrinkToFit="0" vertical="center" wrapText="1"/>
    </xf>
    <xf borderId="27" fillId="8" fontId="48" numFmtId="0" xfId="0" applyAlignment="1" applyBorder="1" applyFont="1">
      <alignment horizontal="left" vertical="center"/>
    </xf>
    <xf borderId="0" fillId="0" fontId="16" numFmtId="0" xfId="0" applyAlignment="1" applyFont="1">
      <alignment horizontal="center" vertical="center"/>
    </xf>
    <xf borderId="27" fillId="8" fontId="16" numFmtId="0" xfId="0" applyAlignment="1" applyBorder="1" applyFont="1">
      <alignment horizontal="left" shrinkToFit="0" vertical="center" wrapText="1"/>
    </xf>
    <xf borderId="27" fillId="0" fontId="29" numFmtId="0" xfId="0" applyBorder="1" applyFont="1"/>
    <xf borderId="27" fillId="0" fontId="16" numFmtId="0" xfId="0" applyAlignment="1" applyBorder="1" applyFont="1">
      <alignment vertical="center"/>
    </xf>
    <xf borderId="30" fillId="8" fontId="13" numFmtId="0" xfId="0" applyAlignment="1" applyBorder="1" applyFont="1">
      <alignment horizontal="center" vertical="center"/>
    </xf>
    <xf borderId="27" fillId="8" fontId="13" numFmtId="0" xfId="0" applyAlignment="1" applyBorder="1" applyFont="1">
      <alignment horizontal="left" vertical="center"/>
    </xf>
    <xf borderId="27" fillId="8" fontId="19" numFmtId="0" xfId="0" applyAlignment="1" applyBorder="1" applyFont="1">
      <alignment horizontal="left" vertical="center"/>
    </xf>
    <xf borderId="30" fillId="0" fontId="13" numFmtId="0" xfId="0" applyAlignment="1" applyBorder="1" applyFont="1">
      <alignment horizontal="center" readingOrder="0" shrinkToFit="0" vertical="center" wrapText="1"/>
    </xf>
    <xf borderId="30" fillId="0" fontId="50" numFmtId="0" xfId="0" applyAlignment="1" applyBorder="1" applyFont="1">
      <alignment horizontal="center" readingOrder="0" vertical="center"/>
    </xf>
    <xf borderId="27" fillId="0" fontId="13" numFmtId="0" xfId="0" applyAlignment="1" applyBorder="1" applyFont="1">
      <alignment horizontal="left" readingOrder="0" shrinkToFit="0" vertical="center" wrapText="1"/>
    </xf>
    <xf borderId="27" fillId="0" fontId="13" numFmtId="0" xfId="0" applyAlignment="1" applyBorder="1" applyFont="1">
      <alignment horizontal="left" readingOrder="0" vertical="center"/>
    </xf>
    <xf borderId="27" fillId="0" fontId="13" numFmtId="0" xfId="0" applyAlignment="1" applyBorder="1" applyFont="1">
      <alignment horizontal="left" vertical="center"/>
    </xf>
    <xf borderId="27" fillId="0" fontId="7" numFmtId="0" xfId="0" applyAlignment="1" applyBorder="1" applyFont="1">
      <alignment horizontal="center" vertical="center"/>
    </xf>
    <xf borderId="35" fillId="0" fontId="7" numFmtId="0" xfId="0" applyAlignment="1" applyBorder="1" applyFont="1">
      <alignment horizontal="center" vertical="center"/>
    </xf>
    <xf borderId="36" fillId="0" fontId="50" numFmtId="0" xfId="0" applyAlignment="1" applyBorder="1" applyFont="1">
      <alignment horizontal="center" shrinkToFit="0" vertical="center" wrapText="1"/>
    </xf>
    <xf borderId="27" fillId="0" fontId="16" numFmtId="0" xfId="0" applyAlignment="1" applyBorder="1" applyFont="1">
      <alignment horizontal="center" shrinkToFit="0" vertical="center" wrapText="1"/>
    </xf>
    <xf borderId="27" fillId="0" fontId="48" numFmtId="0" xfId="0" applyAlignment="1" applyBorder="1" applyFont="1">
      <alignment horizontal="center" shrinkToFit="0" vertical="center" wrapText="1"/>
    </xf>
    <xf borderId="27" fillId="0" fontId="21" numFmtId="0" xfId="0" applyAlignment="1" applyBorder="1" applyFont="1">
      <alignment shrinkToFit="0" wrapText="1"/>
    </xf>
    <xf borderId="0" fillId="0" fontId="59" numFmtId="0" xfId="0" applyAlignment="1" applyFont="1">
      <alignment horizontal="center" vertical="center"/>
    </xf>
    <xf borderId="27" fillId="20" fontId="16" numFmtId="0" xfId="0" applyAlignment="1" applyBorder="1" applyFont="1">
      <alignment horizontal="center" shrinkToFit="0" vertical="center" wrapText="1"/>
    </xf>
    <xf borderId="17" fillId="0" fontId="4" numFmtId="0" xfId="0" applyBorder="1" applyFont="1"/>
    <xf borderId="28" fillId="8" fontId="29" numFmtId="0" xfId="0" applyAlignment="1" applyBorder="1" applyFont="1">
      <alignment horizontal="left" vertical="center"/>
    </xf>
    <xf borderId="28" fillId="8" fontId="29" numFmtId="0" xfId="0" applyAlignment="1" applyBorder="1" applyFont="1">
      <alignment horizontal="center" shrinkToFit="0" vertical="center" wrapText="1"/>
    </xf>
    <xf borderId="27" fillId="8" fontId="29" numFmtId="0" xfId="0" applyAlignment="1" applyBorder="1" applyFont="1">
      <alignment horizontal="center" vertical="center"/>
    </xf>
    <xf borderId="27" fillId="8" fontId="29" numFmtId="0" xfId="0" applyAlignment="1" applyBorder="1" applyFont="1">
      <alignment horizontal="left" shrinkToFit="0" vertical="center" wrapText="1"/>
    </xf>
    <xf borderId="27" fillId="8" fontId="29" numFmtId="0" xfId="0" applyAlignment="1" applyBorder="1" applyFont="1">
      <alignment horizontal="left" vertical="center"/>
    </xf>
    <xf borderId="27" fillId="8" fontId="21" numFmtId="0" xfId="0" applyBorder="1" applyFont="1"/>
    <xf borderId="27" fillId="0" fontId="20" numFmtId="0" xfId="0" applyBorder="1" applyFont="1"/>
    <xf borderId="30" fillId="0" fontId="60" numFmtId="0" xfId="0" applyAlignment="1" applyBorder="1" applyFont="1">
      <alignment horizontal="center" vertical="center"/>
    </xf>
    <xf borderId="27" fillId="0" fontId="19" numFmtId="0" xfId="0" applyAlignment="1" applyBorder="1" applyFont="1">
      <alignment vertical="center"/>
    </xf>
    <xf borderId="27" fillId="0" fontId="13" numFmtId="0" xfId="0" applyBorder="1" applyFont="1"/>
    <xf borderId="30" fillId="6" fontId="29" numFmtId="0" xfId="0" applyAlignment="1" applyBorder="1" applyFont="1">
      <alignment horizontal="left" vertical="center"/>
    </xf>
    <xf borderId="30" fillId="6" fontId="29" numFmtId="0" xfId="0" applyAlignment="1" applyBorder="1" applyFont="1">
      <alignment horizontal="center" shrinkToFit="0" vertical="center" wrapText="1"/>
    </xf>
    <xf borderId="27" fillId="0" fontId="20" numFmtId="0" xfId="0" applyAlignment="1" applyBorder="1" applyFont="1">
      <alignment horizontal="center" shrinkToFit="0" vertical="top" wrapText="1"/>
    </xf>
    <xf borderId="27" fillId="0" fontId="29" numFmtId="0" xfId="0" applyAlignment="1" applyBorder="1" applyFont="1">
      <alignment horizontal="left" shrinkToFit="0" vertical="top" wrapText="1"/>
    </xf>
    <xf borderId="27" fillId="0" fontId="61" numFmtId="0" xfId="0" applyAlignment="1" applyBorder="1" applyFont="1">
      <alignment horizontal="center" shrinkToFit="0" vertical="center" wrapText="1"/>
    </xf>
    <xf borderId="30" fillId="8" fontId="29" numFmtId="0" xfId="0" applyAlignment="1" applyBorder="1" applyFont="1">
      <alignment horizontal="left" vertical="center"/>
    </xf>
    <xf borderId="30" fillId="8" fontId="29" numFmtId="0" xfId="0" applyAlignment="1" applyBorder="1" applyFont="1">
      <alignment horizontal="center" shrinkToFit="0" vertical="center" wrapText="1"/>
    </xf>
    <xf borderId="13" fillId="8" fontId="62" numFmtId="0" xfId="0" applyAlignment="1" applyBorder="1" applyFont="1">
      <alignment horizontal="center" shrinkToFit="0" vertical="top" wrapText="1"/>
    </xf>
    <xf borderId="27" fillId="8" fontId="20" numFmtId="0" xfId="0" applyAlignment="1" applyBorder="1" applyFont="1">
      <alignment horizontal="center" shrinkToFit="0" vertical="top" wrapText="1"/>
    </xf>
    <xf borderId="27" fillId="8" fontId="29" numFmtId="0" xfId="0" applyAlignment="1" applyBorder="1" applyFont="1">
      <alignment horizontal="left" shrinkToFit="0" vertical="top" wrapText="1"/>
    </xf>
    <xf borderId="27" fillId="8" fontId="61" numFmtId="0" xfId="0" applyAlignment="1" applyBorder="1" applyFont="1">
      <alignment horizontal="center" shrinkToFit="0" vertical="center" wrapText="1"/>
    </xf>
    <xf borderId="36" fillId="0" fontId="62" numFmtId="0" xfId="0" applyAlignment="1" applyBorder="1" applyFont="1">
      <alignment horizontal="center" shrinkToFit="0" vertical="center" wrapText="1"/>
    </xf>
    <xf borderId="13" fillId="0" fontId="62" numFmtId="0" xfId="0" applyAlignment="1" applyBorder="1" applyFont="1">
      <alignment horizontal="center" shrinkToFit="0" vertical="top" wrapText="1"/>
    </xf>
    <xf borderId="28" fillId="6" fontId="29" numFmtId="0" xfId="0" applyAlignment="1" applyBorder="1" applyFont="1">
      <alignment horizontal="left" vertical="center"/>
    </xf>
    <xf borderId="28" fillId="6" fontId="29" numFmtId="0" xfId="0" applyAlignment="1" applyBorder="1" applyFont="1">
      <alignment horizontal="center" shrinkToFit="0" vertical="center" wrapText="1"/>
    </xf>
    <xf borderId="27" fillId="0" fontId="29" numFmtId="0" xfId="0" applyAlignment="1" applyBorder="1" applyFont="1">
      <alignment horizontal="center" vertical="center"/>
    </xf>
    <xf borderId="37" fillId="0" fontId="63" numFmtId="0" xfId="0" applyAlignment="1" applyBorder="1" applyFont="1">
      <alignment horizontal="left"/>
    </xf>
    <xf borderId="37" fillId="0" fontId="62" numFmtId="0" xfId="0" applyAlignment="1" applyBorder="1" applyFont="1">
      <alignment shrinkToFit="0" vertical="top" wrapText="1"/>
    </xf>
    <xf borderId="37" fillId="0" fontId="48" numFmtId="0" xfId="0" applyAlignment="1" applyBorder="1" applyFont="1">
      <alignment horizontal="center" shrinkToFit="0" vertical="center" wrapText="1"/>
    </xf>
    <xf borderId="14" fillId="6" fontId="64" numFmtId="0" xfId="0" applyAlignment="1" applyBorder="1" applyFont="1">
      <alignment horizontal="center" shrinkToFit="0" vertical="center" wrapText="1"/>
    </xf>
    <xf borderId="27" fillId="0" fontId="63" numFmtId="0" xfId="0" applyAlignment="1" applyBorder="1" applyFont="1">
      <alignment horizontal="left" shrinkToFit="0" vertical="center" wrapText="1"/>
    </xf>
    <xf borderId="27" fillId="0" fontId="65" numFmtId="0" xfId="0" applyAlignment="1" applyBorder="1" applyFont="1">
      <alignment horizontal="center" shrinkToFit="0" vertical="top" wrapText="1"/>
    </xf>
    <xf borderId="36" fillId="0" fontId="63" numFmtId="0" xfId="0" applyAlignment="1" applyBorder="1" applyFont="1">
      <alignment horizontal="center" shrinkToFit="0" vertical="center" wrapText="1"/>
    </xf>
    <xf borderId="27" fillId="0" fontId="28" numFmtId="0" xfId="0" applyAlignment="1" applyBorder="1" applyFont="1">
      <alignment horizontal="left" shrinkToFit="0" vertical="center" wrapText="1"/>
    </xf>
    <xf borderId="27" fillId="0" fontId="66" numFmtId="0" xfId="0" applyAlignment="1" applyBorder="1" applyFont="1">
      <alignment horizontal="left" shrinkToFit="0" vertical="center" wrapText="1"/>
    </xf>
    <xf borderId="13" fillId="0" fontId="16" numFmtId="0" xfId="0" applyAlignment="1" applyBorder="1" applyFont="1">
      <alignment horizontal="center"/>
    </xf>
    <xf borderId="36" fillId="0" fontId="16" numFmtId="0" xfId="0" applyAlignment="1" applyBorder="1" applyFont="1">
      <alignment horizontal="center" vertical="center"/>
    </xf>
    <xf borderId="27" fillId="6" fontId="28" numFmtId="0" xfId="0" applyAlignment="1" applyBorder="1" applyFont="1">
      <alignment horizontal="left" shrinkToFit="0" vertical="center" wrapText="1"/>
    </xf>
    <xf borderId="27" fillId="6" fontId="29" numFmtId="0" xfId="0" applyAlignment="1" applyBorder="1" applyFont="1">
      <alignment horizontal="left" shrinkToFit="0" vertical="center" wrapText="1"/>
    </xf>
    <xf borderId="0" fillId="0" fontId="16" numFmtId="0" xfId="0" applyAlignment="1" applyFont="1">
      <alignment horizontal="center" shrinkToFit="0" vertical="center" wrapText="1"/>
    </xf>
    <xf borderId="27" fillId="6" fontId="67" numFmtId="0" xfId="0" applyAlignment="1" applyBorder="1" applyFont="1">
      <alignment horizontal="left" vertical="center"/>
    </xf>
    <xf borderId="10" fillId="0" fontId="28" numFmtId="0" xfId="0" applyAlignment="1" applyBorder="1" applyFont="1">
      <alignment horizontal="left" shrinkToFit="0" vertical="center" wrapText="1"/>
    </xf>
    <xf borderId="10" fillId="0" fontId="29" numFmtId="0" xfId="0" applyAlignment="1" applyBorder="1" applyFont="1">
      <alignment horizontal="left" shrinkToFit="0" vertical="center" wrapText="1"/>
    </xf>
    <xf borderId="10" fillId="0" fontId="20" numFmtId="0" xfId="0" applyAlignment="1" applyBorder="1" applyFont="1">
      <alignment horizontal="center" shrinkToFit="0" vertical="top" wrapText="1"/>
    </xf>
    <xf borderId="10" fillId="0" fontId="61" numFmtId="0" xfId="0" applyAlignment="1" applyBorder="1" applyFont="1">
      <alignment horizontal="center" shrinkToFit="0" vertical="center" wrapText="1"/>
    </xf>
    <xf borderId="7" fillId="0" fontId="48" numFmtId="0" xfId="0" applyAlignment="1" applyBorder="1" applyFont="1">
      <alignment horizontal="left" vertical="center"/>
    </xf>
    <xf borderId="38" fillId="6" fontId="29" numFmtId="0" xfId="0" applyAlignment="1" applyBorder="1" applyFont="1">
      <alignment horizontal="left" vertical="center"/>
    </xf>
    <xf borderId="0" fillId="0" fontId="29" numFmtId="0" xfId="0" applyAlignment="1" applyFont="1">
      <alignment horizontal="left" shrinkToFit="0" vertical="center" wrapText="1"/>
    </xf>
    <xf borderId="0" fillId="0" fontId="20" numFmtId="0" xfId="0" applyAlignment="1" applyFont="1">
      <alignment horizontal="center" shrinkToFit="0" vertical="top" wrapText="1"/>
    </xf>
    <xf borderId="7" fillId="0" fontId="66" numFmtId="0" xfId="0" applyAlignment="1" applyBorder="1" applyFont="1">
      <alignment horizontal="left" shrinkToFit="0" vertical="center" wrapText="1"/>
    </xf>
    <xf borderId="10" fillId="0" fontId="48" numFmtId="0" xfId="0" applyAlignment="1" applyBorder="1" applyFont="1">
      <alignment horizontal="left" vertical="center"/>
    </xf>
    <xf borderId="11" fillId="0" fontId="48" numFmtId="0" xfId="0" applyAlignment="1" applyBorder="1" applyFont="1">
      <alignment horizontal="left" vertical="center"/>
    </xf>
    <xf borderId="11" fillId="0" fontId="28" numFmtId="0" xfId="0" applyAlignment="1" applyBorder="1" applyFont="1">
      <alignment horizontal="left" shrinkToFit="0" vertical="center" wrapText="1"/>
    </xf>
    <xf borderId="11" fillId="0" fontId="29" numFmtId="0" xfId="0" applyAlignment="1" applyBorder="1" applyFont="1">
      <alignment horizontal="left" shrinkToFit="0" vertical="center" wrapText="1"/>
    </xf>
    <xf borderId="11" fillId="0" fontId="20" numFmtId="0" xfId="0" applyAlignment="1" applyBorder="1" applyFont="1">
      <alignment horizontal="center" shrinkToFit="0" vertical="top" wrapText="1"/>
    </xf>
    <xf borderId="11" fillId="0" fontId="61" numFmtId="0" xfId="0" applyAlignment="1" applyBorder="1" applyFont="1">
      <alignment horizontal="center" shrinkToFit="0" vertical="center" wrapText="1"/>
    </xf>
    <xf borderId="5" fillId="0" fontId="66" numFmtId="0" xfId="0" applyAlignment="1" applyBorder="1" applyFont="1">
      <alignment horizontal="left" shrinkToFit="0" vertical="center" wrapText="1"/>
    </xf>
    <xf borderId="5" fillId="0" fontId="29" numFmtId="0" xfId="0" applyAlignment="1" applyBorder="1" applyFont="1">
      <alignment horizontal="left" shrinkToFit="0" vertical="center" wrapText="1"/>
    </xf>
    <xf borderId="26" fillId="0" fontId="28" numFmtId="0" xfId="0" applyAlignment="1" applyBorder="1" applyFont="1">
      <alignment horizontal="left" shrinkToFit="0" vertical="center" wrapText="1"/>
    </xf>
    <xf borderId="11" fillId="6" fontId="28" numFmtId="0" xfId="0" applyAlignment="1" applyBorder="1" applyFont="1">
      <alignment horizontal="left" shrinkToFit="0" vertical="center" wrapText="1"/>
    </xf>
    <xf borderId="7" fillId="0" fontId="16" numFmtId="0" xfId="0" applyAlignment="1" applyBorder="1" applyFont="1">
      <alignment horizontal="center"/>
    </xf>
    <xf borderId="39" fillId="0" fontId="28" numFmtId="0" xfId="0" applyAlignment="1" applyBorder="1" applyFont="1">
      <alignment horizontal="center" shrinkToFit="0" vertical="center" wrapText="1"/>
    </xf>
    <xf borderId="38" fillId="6" fontId="28" numFmtId="0" xfId="0" applyAlignment="1" applyBorder="1" applyFont="1">
      <alignment horizontal="left" shrinkToFit="0" vertical="center" wrapText="1"/>
    </xf>
    <xf borderId="11" fillId="0" fontId="48" numFmtId="0" xfId="0" applyAlignment="1" applyBorder="1" applyFont="1">
      <alignment horizontal="left" shrinkToFit="0" vertical="center" wrapText="1"/>
    </xf>
    <xf borderId="9" fillId="0" fontId="4" numFmtId="0" xfId="0" applyBorder="1" applyFont="1"/>
    <xf borderId="5" fillId="0" fontId="13" numFmtId="0" xfId="0" applyAlignment="1" applyBorder="1" applyFont="1">
      <alignment horizontal="center"/>
    </xf>
    <xf borderId="5" fillId="0" fontId="28" numFmtId="0" xfId="0" applyAlignment="1" applyBorder="1" applyFont="1">
      <alignment horizontal="left" shrinkToFit="0" vertical="center" wrapText="1"/>
    </xf>
    <xf borderId="40" fillId="6" fontId="29" numFmtId="0" xfId="0" applyAlignment="1" applyBorder="1" applyFont="1">
      <alignment horizontal="left" shrinkToFit="0" vertical="center" wrapText="1"/>
    </xf>
    <xf borderId="5" fillId="0" fontId="20" numFmtId="0" xfId="0" applyAlignment="1" applyBorder="1" applyFont="1">
      <alignment horizontal="center" shrinkToFit="0" vertical="top" wrapText="1"/>
    </xf>
    <xf borderId="11" fillId="6" fontId="29" numFmtId="0" xfId="0" applyAlignment="1" applyBorder="1" applyFont="1">
      <alignment horizontal="left" vertical="center"/>
    </xf>
    <xf borderId="41" fillId="6" fontId="29" numFmtId="0" xfId="0" applyAlignment="1" applyBorder="1" applyFont="1">
      <alignment horizontal="left" shrinkToFit="0" vertical="center" wrapText="1"/>
    </xf>
    <xf borderId="40" fillId="6" fontId="28" numFmtId="0" xfId="0" applyAlignment="1" applyBorder="1" applyFont="1">
      <alignment horizontal="center" shrinkToFit="0" vertical="center" wrapText="1"/>
    </xf>
    <xf borderId="42" fillId="0" fontId="16" numFmtId="0" xfId="0" applyAlignment="1" applyBorder="1" applyFont="1">
      <alignment horizontal="center" shrinkToFit="0" vertical="center" wrapText="1"/>
    </xf>
    <xf borderId="43" fillId="6" fontId="28" numFmtId="0" xfId="0" applyAlignment="1" applyBorder="1" applyFont="1">
      <alignment horizontal="left" shrinkToFit="0" vertical="center" wrapText="1"/>
    </xf>
    <xf borderId="43" fillId="6" fontId="29" numFmtId="0" xfId="0" applyAlignment="1" applyBorder="1" applyFont="1">
      <alignment horizontal="left" shrinkToFit="0" vertical="center" wrapText="1"/>
    </xf>
    <xf borderId="11" fillId="0" fontId="63" numFmtId="0" xfId="0" applyAlignment="1" applyBorder="1" applyFont="1">
      <alignment horizontal="left" shrinkToFit="0" vertical="center" wrapText="1"/>
    </xf>
    <xf borderId="11" fillId="0" fontId="65" numFmtId="0" xfId="0" applyAlignment="1" applyBorder="1" applyFont="1">
      <alignment horizontal="center" shrinkToFit="0" vertical="top" wrapText="1"/>
    </xf>
    <xf borderId="6" fillId="0" fontId="4" numFmtId="0" xfId="0" applyBorder="1" applyFont="1"/>
    <xf borderId="43" fillId="6" fontId="64" numFmtId="0" xfId="0" applyAlignment="1" applyBorder="1" applyFont="1">
      <alignment horizontal="center" shrinkToFit="0" vertical="center" wrapText="1"/>
    </xf>
    <xf borderId="37" fillId="0" fontId="63" numFmtId="0" xfId="0" applyAlignment="1" applyBorder="1" applyFont="1">
      <alignment horizontal="center" shrinkToFit="0" vertical="center" wrapText="1"/>
    </xf>
    <xf borderId="40" fillId="6" fontId="64" numFmtId="0" xfId="0" applyAlignment="1" applyBorder="1" applyFont="1">
      <alignment horizontal="center" shrinkToFit="0" vertical="center" wrapText="1"/>
    </xf>
    <xf borderId="39" fillId="0" fontId="63" numFmtId="0" xfId="0" applyAlignment="1" applyBorder="1" applyFont="1">
      <alignment horizontal="center" shrinkToFit="0" vertical="center" wrapText="1"/>
    </xf>
    <xf borderId="5" fillId="0" fontId="63" numFmtId="0" xfId="0" applyAlignment="1" applyBorder="1" applyFont="1">
      <alignment horizontal="left" shrinkToFit="0" vertical="center" wrapText="1"/>
    </xf>
    <xf borderId="7" fillId="0" fontId="63" numFmtId="0" xfId="0" applyAlignment="1" applyBorder="1" applyFont="1">
      <alignment horizontal="center" vertical="center"/>
    </xf>
    <xf borderId="43" fillId="6" fontId="64" numFmtId="0" xfId="0" applyAlignment="1" applyBorder="1" applyFont="1">
      <alignment horizontal="center" vertical="center"/>
    </xf>
    <xf borderId="38" fillId="6" fontId="67" numFmtId="0" xfId="0" applyAlignment="1" applyBorder="1" applyFont="1">
      <alignment horizontal="left" vertical="center"/>
    </xf>
    <xf borderId="0" fillId="0" fontId="48" numFmtId="0" xfId="0" applyAlignment="1" applyFont="1">
      <alignment horizontal="left" vertical="center"/>
    </xf>
    <xf borderId="11" fillId="6" fontId="29" numFmtId="0" xfId="0" applyAlignment="1" applyBorder="1" applyFont="1">
      <alignment horizontal="left" shrinkToFit="0" vertical="center" wrapText="1"/>
    </xf>
    <xf borderId="11" fillId="6" fontId="20" numFmtId="0" xfId="0" applyAlignment="1" applyBorder="1" applyFont="1">
      <alignment horizontal="center" shrinkToFit="0" vertical="top" wrapText="1"/>
    </xf>
    <xf borderId="11" fillId="6" fontId="61" numFmtId="0" xfId="0" applyAlignment="1" applyBorder="1" applyFont="1">
      <alignment horizontal="center" shrinkToFit="0" vertical="center" wrapText="1"/>
    </xf>
    <xf borderId="4" fillId="0" fontId="48" numFmtId="0" xfId="0" applyAlignment="1" applyBorder="1" applyFont="1">
      <alignment horizontal="left" shrinkToFit="0" vertical="center" wrapText="1"/>
    </xf>
    <xf borderId="4" fillId="0" fontId="65" numFmtId="0" xfId="0" applyAlignment="1" applyBorder="1" applyFont="1">
      <alignment horizontal="center" shrinkToFit="0" vertical="top" wrapText="1"/>
    </xf>
    <xf borderId="4" fillId="0" fontId="61" numFmtId="0" xfId="0" applyAlignment="1" applyBorder="1" applyFont="1">
      <alignment horizontal="center" shrinkToFit="0" vertical="center" wrapText="1"/>
    </xf>
    <xf borderId="38" fillId="6" fontId="64" numFmtId="0" xfId="0" applyAlignment="1" applyBorder="1" applyFont="1">
      <alignment horizontal="center"/>
    </xf>
    <xf borderId="26" fillId="0" fontId="63" numFmtId="0" xfId="0" applyAlignment="1" applyBorder="1" applyFont="1">
      <alignment horizontal="left" shrinkToFit="0" vertical="center" wrapText="1"/>
    </xf>
    <xf borderId="43" fillId="6" fontId="64" numFmtId="0" xfId="0" applyAlignment="1" applyBorder="1" applyFont="1">
      <alignment horizontal="center" vertical="top"/>
    </xf>
    <xf borderId="10" fillId="0" fontId="63" numFmtId="0" xfId="0" applyAlignment="1" applyBorder="1" applyFont="1">
      <alignment horizontal="left" shrinkToFit="0" vertical="center" wrapText="1"/>
    </xf>
    <xf borderId="43" fillId="6" fontId="64" numFmtId="0" xfId="0" applyAlignment="1" applyBorder="1" applyFont="1">
      <alignment horizontal="center"/>
    </xf>
    <xf borderId="5" fillId="0" fontId="63" numFmtId="0" xfId="0" applyAlignment="1" applyBorder="1" applyFont="1">
      <alignment horizontal="center" vertical="center"/>
    </xf>
    <xf borderId="44" fillId="6" fontId="64" numFmtId="0" xfId="0" applyAlignment="1" applyBorder="1" applyFont="1">
      <alignment horizontal="center" vertical="top"/>
    </xf>
    <xf borderId="26" fillId="0" fontId="48" numFmtId="0" xfId="0" applyAlignment="1" applyBorder="1" applyFont="1">
      <alignment horizontal="left" vertical="center"/>
    </xf>
    <xf borderId="45" fillId="0" fontId="4" numFmtId="0" xfId="0" applyBorder="1" applyFont="1"/>
    <xf borderId="8" fillId="0" fontId="4" numFmtId="0" xfId="0" applyBorder="1" applyFont="1"/>
    <xf borderId="10" fillId="0" fontId="63" numFmtId="0" xfId="0" applyAlignment="1" applyBorder="1" applyFont="1">
      <alignment horizontal="left"/>
    </xf>
    <xf borderId="10" fillId="0" fontId="48" numFmtId="0" xfId="0" applyAlignment="1" applyBorder="1" applyFont="1">
      <alignment vertical="center"/>
    </xf>
    <xf borderId="10" fillId="0" fontId="63" numFmtId="0" xfId="0" applyAlignment="1" applyBorder="1" applyFont="1">
      <alignment horizontal="center" shrinkToFit="0" vertical="center" wrapText="1"/>
    </xf>
    <xf borderId="11" fillId="6" fontId="64" numFmtId="0" xfId="0" applyAlignment="1" applyBorder="1" applyFont="1">
      <alignment horizontal="center" vertical="top"/>
    </xf>
    <xf borderId="11" fillId="0" fontId="63" numFmtId="0" xfId="0" applyAlignment="1" applyBorder="1" applyFont="1">
      <alignment horizontal="left"/>
    </xf>
    <xf borderId="11" fillId="0" fontId="48" numFmtId="0" xfId="0" applyAlignment="1" applyBorder="1" applyFont="1">
      <alignment vertical="center"/>
    </xf>
    <xf borderId="11" fillId="0" fontId="63" numFmtId="0" xfId="0" applyAlignment="1" applyBorder="1" applyFont="1">
      <alignment horizontal="center" shrinkToFit="0" vertical="center" wrapText="1"/>
    </xf>
    <xf borderId="8" fillId="0" fontId="63" numFmtId="0" xfId="0" applyAlignment="1" applyBorder="1" applyFont="1">
      <alignment horizontal="center" vertical="center"/>
    </xf>
    <xf borderId="11" fillId="6" fontId="28" numFmtId="0" xfId="0" applyAlignment="1" applyBorder="1" applyFont="1">
      <alignment horizontal="center" shrinkToFit="0" vertical="center" wrapText="1"/>
    </xf>
    <xf borderId="11" fillId="0" fontId="63" numFmtId="0" xfId="0" applyAlignment="1" applyBorder="1" applyFont="1">
      <alignment horizontal="center" vertical="center"/>
    </xf>
    <xf borderId="26" fillId="0" fontId="48" numFmtId="0" xfId="0" applyAlignment="1" applyBorder="1" applyFont="1">
      <alignment vertical="center"/>
    </xf>
    <xf borderId="26" fillId="0" fontId="63" numFmtId="0" xfId="0" applyAlignment="1" applyBorder="1" applyFont="1">
      <alignment horizontal="center" shrinkToFit="0" vertical="center" wrapText="1"/>
    </xf>
    <xf borderId="8" fillId="0" fontId="63" numFmtId="0" xfId="0" applyAlignment="1" applyBorder="1" applyFont="1">
      <alignment horizontal="center" shrinkToFit="0" vertical="center" wrapText="1"/>
    </xf>
    <xf borderId="25" fillId="6" fontId="28" numFmtId="0" xfId="0" applyAlignment="1" applyBorder="1" applyFont="1">
      <alignment horizontal="left" shrinkToFit="0" vertical="center" wrapText="1"/>
    </xf>
    <xf borderId="25" fillId="6" fontId="29" numFmtId="0" xfId="0" applyAlignment="1" applyBorder="1" applyFont="1">
      <alignment horizontal="left" shrinkToFit="0" vertical="center" wrapText="1"/>
    </xf>
    <xf borderId="25" fillId="6" fontId="20" numFmtId="0" xfId="0" applyAlignment="1" applyBorder="1" applyFont="1">
      <alignment horizontal="center" shrinkToFit="0" vertical="top" wrapText="1"/>
    </xf>
    <xf borderId="25" fillId="6" fontId="61" numFmtId="0" xfId="0" applyAlignment="1" applyBorder="1" applyFont="1">
      <alignment horizontal="center" shrinkToFit="0" vertical="center" wrapText="1"/>
    </xf>
    <xf borderId="5" fillId="0" fontId="48" numFmtId="0" xfId="0" applyAlignment="1" applyBorder="1" applyFont="1">
      <alignment horizontal="left" vertical="center"/>
    </xf>
    <xf borderId="46" fillId="6" fontId="29" numFmtId="0" xfId="0" applyAlignment="1" applyBorder="1" applyFont="1">
      <alignment horizontal="left" shrinkToFit="0" vertical="center" wrapText="1"/>
    </xf>
    <xf borderId="46" fillId="6" fontId="20" numFmtId="0" xfId="0" applyAlignment="1" applyBorder="1" applyFont="1">
      <alignment horizontal="center" shrinkToFit="0" vertical="top" wrapText="1"/>
    </xf>
    <xf borderId="46" fillId="6" fontId="61" numFmtId="0" xfId="0" applyAlignment="1" applyBorder="1" applyFont="1">
      <alignment horizontal="center" shrinkToFit="0" vertical="center" wrapText="1"/>
    </xf>
    <xf borderId="47" fillId="6" fontId="29" numFmtId="0" xfId="0" applyAlignment="1" applyBorder="1" applyFont="1">
      <alignment horizontal="left" shrinkToFit="0" vertical="center" wrapText="1"/>
    </xf>
    <xf borderId="11" fillId="0" fontId="29" numFmtId="0" xfId="0" applyAlignment="1" applyBorder="1" applyFont="1">
      <alignment horizontal="left" vertical="center"/>
    </xf>
    <xf borderId="11" fillId="0" fontId="20" numFmtId="0" xfId="0" applyAlignment="1" applyBorder="1" applyFont="1">
      <alignment horizontal="center" vertical="top"/>
    </xf>
    <xf borderId="26" fillId="0" fontId="63" numFmtId="0" xfId="0" applyAlignment="1" applyBorder="1" applyFont="1">
      <alignment horizontal="center" vertical="center"/>
    </xf>
    <xf borderId="11" fillId="0" fontId="48" numFmtId="0" xfId="0" applyAlignment="1" applyBorder="1" applyFont="1">
      <alignment shrinkToFit="0" vertical="center" wrapText="1"/>
    </xf>
    <xf borderId="26" fillId="0" fontId="29" numFmtId="0" xfId="0" applyAlignment="1" applyBorder="1" applyFont="1">
      <alignment horizontal="left" shrinkToFit="0" vertical="center" wrapText="1"/>
    </xf>
    <xf borderId="26" fillId="0" fontId="20" numFmtId="0" xfId="0" applyAlignment="1" applyBorder="1" applyFont="1">
      <alignment horizontal="center" shrinkToFit="0" vertical="top" wrapText="1"/>
    </xf>
    <xf borderId="26" fillId="0" fontId="61" numFmtId="0" xfId="0" applyAlignment="1" applyBorder="1" applyFont="1">
      <alignment horizontal="center" shrinkToFit="0" vertical="center" wrapText="1"/>
    </xf>
    <xf borderId="26" fillId="0" fontId="48" numFmtId="0" xfId="0" applyAlignment="1" applyBorder="1" applyFont="1">
      <alignment horizontal="left" shrinkToFit="0" vertical="center" wrapText="1"/>
    </xf>
    <xf borderId="8" fillId="0" fontId="29" numFmtId="0" xfId="0" applyAlignment="1" applyBorder="1" applyFont="1">
      <alignment horizontal="left" shrinkToFit="0" vertical="center" wrapText="1"/>
    </xf>
    <xf borderId="8" fillId="0" fontId="20" numFmtId="0" xfId="0" applyAlignment="1" applyBorder="1" applyFont="1">
      <alignment horizontal="center" shrinkToFit="0" vertical="top" wrapText="1"/>
    </xf>
    <xf borderId="8" fillId="0" fontId="61" numFmtId="0" xfId="0" applyAlignment="1" applyBorder="1" applyFont="1">
      <alignment horizontal="center" shrinkToFit="0" vertical="center" wrapText="1"/>
    </xf>
    <xf borderId="26" fillId="0" fontId="29" numFmtId="0" xfId="0" applyAlignment="1" applyBorder="1" applyFont="1">
      <alignment horizontal="left" vertical="center"/>
    </xf>
    <xf borderId="26" fillId="0" fontId="20" numFmtId="0" xfId="0" applyAlignment="1" applyBorder="1" applyFont="1">
      <alignment horizontal="center" vertical="top"/>
    </xf>
    <xf borderId="10" fillId="0" fontId="48" numFmtId="0" xfId="0" applyAlignment="1" applyBorder="1" applyFont="1">
      <alignment horizontal="left" shrinkToFit="0" vertical="center" wrapText="1"/>
    </xf>
    <xf borderId="10" fillId="0" fontId="29" numFmtId="0" xfId="0" applyAlignment="1" applyBorder="1" applyFont="1">
      <alignment horizontal="left" vertical="center"/>
    </xf>
    <xf borderId="10" fillId="0" fontId="20" numFmtId="0" xfId="0" applyAlignment="1" applyBorder="1" applyFont="1">
      <alignment horizontal="center" vertical="top"/>
    </xf>
    <xf borderId="8" fillId="0" fontId="48" numFmtId="0" xfId="0" applyAlignment="1" applyBorder="1" applyFont="1">
      <alignment horizontal="left" shrinkToFit="0" vertical="center" wrapText="1"/>
    </xf>
    <xf borderId="8" fillId="0" fontId="48" numFmtId="0" xfId="0" applyAlignment="1" applyBorder="1" applyFont="1">
      <alignment horizontal="left" vertical="center"/>
    </xf>
    <xf borderId="26" fillId="6" fontId="29" numFmtId="0" xfId="0" applyAlignment="1" applyBorder="1" applyFont="1">
      <alignment horizontal="left" shrinkToFit="0" vertical="center" wrapText="1"/>
    </xf>
    <xf borderId="10" fillId="0" fontId="63" numFmtId="0" xfId="0" applyAlignment="1" applyBorder="1" applyFont="1">
      <alignment horizontal="center" vertical="center"/>
    </xf>
    <xf borderId="25" fillId="6" fontId="63" numFmtId="0" xfId="0" applyAlignment="1" applyBorder="1" applyFont="1">
      <alignment horizontal="left"/>
    </xf>
    <xf borderId="25" fillId="6" fontId="48" numFmtId="0" xfId="0" applyAlignment="1" applyBorder="1" applyFont="1">
      <alignment vertical="center"/>
    </xf>
    <xf borderId="25" fillId="6" fontId="63" numFmtId="0" xfId="0" applyAlignment="1" applyBorder="1" applyFont="1">
      <alignment horizontal="center" shrinkToFit="0" vertical="center" wrapText="1"/>
    </xf>
    <xf borderId="25" fillId="6" fontId="63" numFmtId="0" xfId="0" applyAlignment="1" applyBorder="1" applyFont="1">
      <alignment horizontal="center" vertical="center"/>
    </xf>
    <xf borderId="25" fillId="6" fontId="29" numFmtId="0" xfId="0" applyAlignment="1" applyBorder="1" applyFont="1">
      <alignment horizontal="left" vertical="center"/>
    </xf>
    <xf borderId="25" fillId="6" fontId="20" numFmtId="0" xfId="0" applyAlignment="1" applyBorder="1" applyFont="1">
      <alignment horizontal="center" vertical="top"/>
    </xf>
    <xf borderId="25" fillId="6" fontId="48" numFmtId="0" xfId="0" applyAlignment="1" applyBorder="1" applyFont="1">
      <alignment horizontal="left" shrinkToFit="0" vertical="center" wrapText="1"/>
    </xf>
    <xf borderId="25" fillId="6" fontId="48" numFmtId="0" xfId="0" applyAlignment="1" applyBorder="1" applyFont="1">
      <alignment horizontal="left" vertical="center"/>
    </xf>
    <xf borderId="40" fillId="6" fontId="48" numFmtId="0" xfId="0" applyAlignment="1" applyBorder="1" applyFont="1">
      <alignment horizontal="left" vertical="center"/>
    </xf>
    <xf borderId="38" fillId="6" fontId="21" numFmtId="0" xfId="0" applyBorder="1" applyFont="1"/>
    <xf borderId="11" fillId="0" fontId="63" numFmtId="0" xfId="0" applyBorder="1" applyFont="1"/>
    <xf borderId="8" fillId="0" fontId="48" numFmtId="0" xfId="0" applyAlignment="1" applyBorder="1" applyFont="1">
      <alignment vertical="center"/>
    </xf>
    <xf borderId="11" fillId="0" fontId="68" numFmtId="0" xfId="0" applyBorder="1" applyFont="1"/>
    <xf borderId="26" fillId="0" fontId="65" numFmtId="0" xfId="0" applyAlignment="1" applyBorder="1" applyFont="1">
      <alignment horizontal="center" shrinkToFit="0" vertical="top" wrapText="1"/>
    </xf>
    <xf borderId="26" fillId="0" fontId="48" numFmtId="0" xfId="0" applyAlignment="1" applyBorder="1" applyFont="1">
      <alignment horizontal="center" vertical="center"/>
    </xf>
    <xf borderId="10" fillId="0" fontId="65" numFmtId="0" xfId="0" applyAlignment="1" applyBorder="1" applyFont="1">
      <alignment horizontal="center" vertical="top"/>
    </xf>
    <xf borderId="11" fillId="0" fontId="65" numFmtId="0" xfId="0" applyAlignment="1" applyBorder="1" applyFont="1">
      <alignment horizontal="center" vertical="top"/>
    </xf>
    <xf borderId="8" fillId="0" fontId="63" numFmtId="0" xfId="0" applyAlignment="1" applyBorder="1" applyFont="1">
      <alignment horizontal="left" shrinkToFit="0" vertical="center" wrapText="1"/>
    </xf>
    <xf borderId="11" fillId="0" fontId="48" numFmtId="0" xfId="0" applyBorder="1" applyFont="1"/>
    <xf borderId="11" fillId="0" fontId="63" numFmtId="0" xfId="0" applyAlignment="1" applyBorder="1" applyFont="1">
      <alignment horizontal="center"/>
    </xf>
    <xf borderId="0" fillId="0" fontId="63" numFmtId="0" xfId="0" applyAlignment="1" applyFont="1">
      <alignment horizontal="left"/>
    </xf>
    <xf borderId="0" fillId="0" fontId="48" numFmtId="0" xfId="0" applyAlignment="1" applyFont="1">
      <alignment vertical="center"/>
    </xf>
    <xf borderId="0" fillId="0" fontId="63" numFmtId="0" xfId="0" applyAlignment="1" applyFont="1">
      <alignment horizontal="center" shrinkToFit="0" vertical="center" wrapText="1"/>
    </xf>
    <xf borderId="0" fillId="0" fontId="63" numFmtId="0" xfId="0" applyAlignment="1" applyFont="1">
      <alignment horizontal="center" vertical="center"/>
    </xf>
    <xf borderId="0" fillId="0" fontId="63" numFmtId="0" xfId="0" applyAlignment="1" applyFont="1">
      <alignment horizontal="left" shrinkToFit="0" vertical="center" wrapText="1"/>
    </xf>
    <xf borderId="0" fillId="0" fontId="48" numFmtId="0" xfId="0" applyAlignment="1" applyFont="1">
      <alignment horizontal="left" shrinkToFit="0" vertical="center" wrapText="1"/>
    </xf>
    <xf borderId="0" fillId="0" fontId="65" numFmtId="0" xfId="0" applyAlignment="1" applyFont="1">
      <alignment horizontal="center" shrinkToFit="0" vertical="top" wrapText="1"/>
    </xf>
    <xf borderId="0" fillId="0" fontId="61" numFmtId="0" xfId="0" applyAlignment="1" applyFont="1">
      <alignment horizontal="center" shrinkToFit="0" vertical="center" wrapText="1"/>
    </xf>
    <xf borderId="0" fillId="0" fontId="65" numFmtId="0" xfId="0" applyAlignment="1" applyFont="1">
      <alignment horizontal="center" vertical="top"/>
    </xf>
    <xf borderId="0" fillId="0" fontId="63" numFmtId="0" xfId="0" applyFont="1"/>
    <xf borderId="0" fillId="0" fontId="48" numFmtId="0" xfId="0" applyFont="1"/>
    <xf borderId="0" fillId="0" fontId="63" numFmtId="0" xfId="0" applyAlignment="1" applyFont="1">
      <alignment horizontal="center"/>
    </xf>
    <xf borderId="0" fillId="0" fontId="68" numFmtId="0" xfId="0" applyFont="1"/>
    <xf borderId="0" fillId="0" fontId="68" numFmtId="0" xfId="0" applyAlignment="1" applyFont="1">
      <alignment vertical="center"/>
    </xf>
    <xf borderId="0" fillId="0" fontId="29" numFmtId="0" xfId="0" applyFont="1"/>
    <xf borderId="0" fillId="0" fontId="29" numFmtId="0" xfId="0" applyAlignment="1" applyFont="1">
      <alignment horizontal="center" shrinkToFit="0" vertical="center" wrapText="1"/>
    </xf>
    <xf borderId="0" fillId="0" fontId="29" numFmtId="0" xfId="0" applyAlignment="1" applyFont="1">
      <alignment horizontal="center"/>
    </xf>
    <xf borderId="0" fillId="0" fontId="29" numFmtId="0" xfId="0" applyAlignment="1" applyFont="1">
      <alignment horizontal="left"/>
    </xf>
    <xf borderId="0" fillId="0" fontId="20" numFmtId="0" xfId="0" applyAlignment="1" applyFont="1">
      <alignment vertical="center"/>
    </xf>
    <xf borderId="12" fillId="23" fontId="69" numFmtId="0" xfId="0" applyAlignment="1" applyBorder="1" applyFill="1" applyFont="1">
      <alignment horizontal="center"/>
    </xf>
    <xf borderId="0" fillId="0" fontId="70" numFmtId="0" xfId="0" applyAlignment="1" applyFont="1">
      <alignment horizontal="center" vertical="center"/>
    </xf>
    <xf borderId="0" fillId="0" fontId="25" numFmtId="0" xfId="0" applyFont="1"/>
    <xf borderId="48" fillId="24" fontId="62" numFmtId="0" xfId="0" applyAlignment="1" applyBorder="1" applyFill="1" applyFont="1">
      <alignment horizontal="right"/>
    </xf>
    <xf borderId="49" fillId="25" fontId="62" numFmtId="0" xfId="0" applyAlignment="1" applyBorder="1" applyFill="1" applyFont="1">
      <alignment horizontal="left" readingOrder="0" shrinkToFit="0" vertical="center" wrapText="1"/>
    </xf>
    <xf borderId="50" fillId="0" fontId="4" numFmtId="0" xfId="0" applyBorder="1" applyFont="1"/>
    <xf borderId="51" fillId="0" fontId="4" numFmtId="0" xfId="0" applyBorder="1" applyFont="1"/>
    <xf borderId="52" fillId="24" fontId="62" numFmtId="0" xfId="0" applyAlignment="1" applyBorder="1" applyFont="1">
      <alignment horizontal="right"/>
    </xf>
    <xf borderId="49" fillId="25" fontId="62" numFmtId="0" xfId="0" applyAlignment="1" applyBorder="1" applyFont="1">
      <alignment horizontal="left" shrinkToFit="0" vertical="center" wrapText="1"/>
    </xf>
    <xf borderId="27" fillId="26" fontId="27" numFmtId="0" xfId="0" applyAlignment="1" applyBorder="1" applyFill="1" applyFont="1">
      <alignment horizontal="center"/>
    </xf>
    <xf borderId="27" fillId="0" fontId="59" numFmtId="0" xfId="0" applyBorder="1" applyFont="1"/>
    <xf borderId="53" fillId="0" fontId="20" numFmtId="0" xfId="0" applyBorder="1" applyFont="1"/>
    <xf borderId="27" fillId="0" fontId="70" numFmtId="0" xfId="0" applyBorder="1" applyFont="1"/>
    <xf borderId="27" fillId="0" fontId="25" numFmtId="0" xfId="0" applyAlignment="1" applyBorder="1" applyFont="1">
      <alignment horizontal="center"/>
    </xf>
    <xf borderId="0" fillId="0" fontId="19" numFmtId="0" xfId="0" applyFont="1"/>
    <xf borderId="0" fillId="6" fontId="71" numFmtId="0" xfId="0" applyFont="1"/>
    <xf borderId="0" fillId="0" fontId="24" numFmtId="0" xfId="0" applyFont="1"/>
    <xf borderId="54" fillId="22" fontId="72" numFmtId="0" xfId="0" applyAlignment="1" applyBorder="1" applyFont="1">
      <alignment horizontal="center" shrinkToFit="0" vertical="center" wrapText="1"/>
    </xf>
    <xf borderId="55" fillId="0" fontId="4" numFmtId="0" xfId="0" applyBorder="1" applyFont="1"/>
    <xf borderId="56" fillId="0" fontId="4" numFmtId="0" xfId="0" applyBorder="1" applyFont="1"/>
    <xf borderId="57" fillId="0" fontId="4" numFmtId="0" xfId="0" applyBorder="1" applyFont="1"/>
    <xf borderId="58" fillId="0" fontId="4" numFmtId="0" xfId="0" applyBorder="1" applyFont="1"/>
    <xf borderId="12" fillId="0" fontId="8" numFmtId="0" xfId="0" applyAlignment="1" applyBorder="1" applyFont="1">
      <alignment vertical="center"/>
    </xf>
    <xf borderId="0" fillId="0" fontId="8" numFmtId="0" xfId="0" applyFont="1"/>
    <xf borderId="48" fillId="10" fontId="73" numFmtId="0" xfId="0" applyAlignment="1" applyBorder="1" applyFont="1">
      <alignment horizontal="center" shrinkToFit="0" vertical="top" wrapText="1"/>
    </xf>
    <xf borderId="41" fillId="10" fontId="73" numFmtId="0" xfId="0" applyAlignment="1" applyBorder="1" applyFont="1">
      <alignment horizontal="center" shrinkToFit="0" vertical="top" wrapText="1"/>
    </xf>
    <xf borderId="59" fillId="10" fontId="73" numFmtId="0" xfId="0" applyAlignment="1" applyBorder="1" applyFont="1">
      <alignment horizontal="center" shrinkToFit="0" vertical="top" wrapText="1"/>
    </xf>
    <xf borderId="0" fillId="0" fontId="19" numFmtId="0" xfId="0" applyAlignment="1" applyFont="1">
      <alignment vertical="center"/>
    </xf>
    <xf borderId="48" fillId="16" fontId="48" numFmtId="0" xfId="0" applyAlignment="1" applyBorder="1" applyFont="1">
      <alignment vertical="center"/>
    </xf>
    <xf borderId="41" fillId="11" fontId="74" numFmtId="0" xfId="0" applyAlignment="1" applyBorder="1" applyFont="1">
      <alignment horizontal="center" vertical="center"/>
    </xf>
    <xf borderId="41" fillId="27" fontId="74" numFmtId="0" xfId="0" applyAlignment="1" applyBorder="1" applyFill="1" applyFont="1">
      <alignment horizontal="center" vertical="center"/>
    </xf>
    <xf borderId="41" fillId="28" fontId="74" numFmtId="0" xfId="0" applyAlignment="1" applyBorder="1" applyFill="1" applyFont="1">
      <alignment horizontal="center" vertical="center"/>
    </xf>
    <xf borderId="41" fillId="29" fontId="74" numFmtId="0" xfId="0" applyAlignment="1" applyBorder="1" applyFill="1" applyFont="1">
      <alignment horizontal="center" vertical="center"/>
    </xf>
    <xf borderId="59" fillId="30" fontId="75" numFmtId="0" xfId="0" applyAlignment="1" applyBorder="1" applyFill="1" applyFont="1">
      <alignment horizontal="center" vertical="center"/>
    </xf>
    <xf borderId="0" fillId="0" fontId="70" numFmtId="0" xfId="0" applyAlignment="1" applyFont="1">
      <alignment vertical="center"/>
    </xf>
    <xf borderId="60" fillId="31" fontId="3" numFmtId="0" xfId="0" applyAlignment="1" applyBorder="1" applyFill="1" applyFont="1">
      <alignment horizontal="center" vertical="center"/>
    </xf>
    <xf borderId="61" fillId="31" fontId="3" numFmtId="0" xfId="0" applyAlignment="1" applyBorder="1" applyFont="1">
      <alignment horizontal="center" vertical="center"/>
    </xf>
    <xf borderId="61" fillId="31" fontId="3" numFmtId="0" xfId="0" applyAlignment="1" applyBorder="1" applyFont="1">
      <alignment horizontal="center" shrinkToFit="0" vertical="center" wrapText="1"/>
    </xf>
    <xf borderId="62" fillId="31" fontId="3" numFmtId="0" xfId="0" applyAlignment="1" applyBorder="1" applyFont="1">
      <alignment horizontal="center" vertical="center"/>
    </xf>
    <xf borderId="0" fillId="0" fontId="25" numFmtId="0" xfId="0" applyAlignment="1" applyFont="1">
      <alignment horizontal="right"/>
    </xf>
    <xf borderId="63" fillId="0" fontId="4" numFmtId="0" xfId="0" applyBorder="1" applyFont="1"/>
    <xf borderId="64" fillId="0" fontId="4" numFmtId="0" xfId="0" applyBorder="1" applyFont="1"/>
    <xf borderId="65" fillId="0" fontId="4" numFmtId="0" xfId="0" applyBorder="1" applyFont="1"/>
    <xf borderId="0" fillId="0" fontId="25" numFmtId="0" xfId="0" applyAlignment="1" applyFont="1">
      <alignment vertical="top"/>
    </xf>
    <xf borderId="12" fillId="19" fontId="62" numFmtId="0" xfId="0" applyAlignment="1" applyBorder="1" applyFont="1">
      <alignment horizontal="center" shrinkToFit="0" wrapText="1"/>
    </xf>
    <xf borderId="12" fillId="19" fontId="62" numFmtId="0" xfId="0" applyAlignment="1" applyBorder="1" applyFont="1">
      <alignment horizontal="center" shrinkToFit="0" vertical="top" wrapText="1"/>
    </xf>
    <xf borderId="27" fillId="19" fontId="62" numFmtId="0" xfId="0" applyAlignment="1" applyBorder="1" applyFont="1">
      <alignment horizontal="center" shrinkToFit="0" vertical="top" wrapText="1"/>
    </xf>
    <xf borderId="12" fillId="32" fontId="48" numFmtId="0" xfId="0" applyBorder="1" applyFill="1" applyFont="1"/>
    <xf borderId="27" fillId="32" fontId="48" numFmtId="0" xfId="0" applyAlignment="1" applyBorder="1" applyFont="1">
      <alignment horizontal="center" vertical="top"/>
    </xf>
    <xf borderId="30" fillId="33" fontId="24" numFmtId="0" xfId="0" applyAlignment="1" applyBorder="1" applyFill="1" applyFont="1">
      <alignment horizontal="center"/>
    </xf>
    <xf borderId="30" fillId="33" fontId="24" numFmtId="0" xfId="0" applyAlignment="1" applyBorder="1" applyFont="1">
      <alignment horizontal="center" shrinkToFit="0" vertical="center" wrapText="1"/>
    </xf>
    <xf borderId="33" fillId="33" fontId="24" numFmtId="0" xfId="0" applyAlignment="1" applyBorder="1" applyFont="1">
      <alignment horizontal="center" vertical="center"/>
    </xf>
    <xf borderId="66" fillId="0" fontId="4" numFmtId="0" xfId="0" applyBorder="1" applyFont="1"/>
    <xf borderId="36" fillId="0" fontId="4" numFmtId="0" xfId="0" applyBorder="1" applyFont="1"/>
    <xf borderId="67" fillId="0" fontId="4" numFmtId="0" xfId="0" applyBorder="1" applyFont="1"/>
    <xf borderId="30" fillId="0" fontId="24" numFmtId="0" xfId="0" applyAlignment="1" applyBorder="1" applyFont="1">
      <alignment horizontal="center" shrinkToFit="0" vertical="center" wrapText="1"/>
    </xf>
    <xf borderId="30" fillId="0" fontId="24" numFmtId="0" xfId="0" applyAlignment="1" applyBorder="1" applyFont="1">
      <alignment horizontal="center" vertical="center"/>
    </xf>
    <xf borderId="33" fillId="0" fontId="19" numFmtId="0" xfId="0" applyAlignment="1" applyBorder="1" applyFont="1">
      <alignment horizontal="center" shrinkToFit="0" vertical="center" wrapText="1"/>
    </xf>
    <xf borderId="38" fillId="21" fontId="20" numFmtId="0" xfId="0" applyBorder="1" applyFont="1"/>
    <xf borderId="0" fillId="0" fontId="76" numFmtId="0" xfId="0" applyAlignment="1" applyFont="1">
      <alignment horizontal="left" vertical="center"/>
    </xf>
    <xf borderId="26" fillId="5" fontId="77" numFmtId="0" xfId="0" applyAlignment="1" applyBorder="1" applyFont="1">
      <alignment horizontal="left" vertical="center"/>
    </xf>
    <xf borderId="26" fillId="7" fontId="76" numFmtId="0" xfId="0" applyAlignment="1" applyBorder="1" applyFont="1">
      <alignment horizontal="left" vertical="center"/>
    </xf>
    <xf borderId="8" fillId="7" fontId="24" numFmtId="0" xfId="0" applyAlignment="1" applyBorder="1" applyFont="1">
      <alignment horizontal="left" vertical="center"/>
    </xf>
    <xf borderId="8" fillId="7" fontId="78" numFmtId="0" xfId="0" applyAlignment="1" applyBorder="1" applyFont="1">
      <alignment horizontal="left" vertical="center"/>
    </xf>
    <xf borderId="8" fillId="7" fontId="19" numFmtId="0" xfId="0" applyAlignment="1" applyBorder="1" applyFont="1">
      <alignment horizontal="left" vertical="center"/>
    </xf>
    <xf borderId="8" fillId="7" fontId="79" numFmtId="0" xfId="0" applyAlignment="1" applyBorder="1" applyFont="1">
      <alignment horizontal="left" vertical="center"/>
    </xf>
    <xf borderId="10" fillId="7" fontId="24" numFmtId="0" xfId="0" applyAlignment="1" applyBorder="1" applyFont="1">
      <alignment horizontal="left" vertical="center"/>
    </xf>
    <xf borderId="26" fillId="5" fontId="80" numFmtId="0" xfId="0" applyAlignment="1" applyBorder="1" applyFont="1">
      <alignment horizontal="left" vertical="center"/>
    </xf>
    <xf borderId="38" fillId="21" fontId="60" numFmtId="0" xfId="0" applyAlignment="1" applyBorder="1" applyFont="1">
      <alignment horizontal="left" vertical="center"/>
    </xf>
    <xf borderId="0" fillId="0" fontId="20" numFmtId="0" xfId="0" applyAlignment="1" applyFont="1">
      <alignment horizontal="center"/>
    </xf>
    <xf borderId="33" fillId="10" fontId="81" numFmtId="0" xfId="0" applyAlignment="1" applyBorder="1" applyFont="1">
      <alignment horizontal="center" vertical="center"/>
    </xf>
    <xf borderId="0" fillId="0" fontId="82" numFmtId="0" xfId="0" applyAlignment="1" applyFont="1">
      <alignment horizontal="center" vertical="center"/>
    </xf>
    <xf borderId="27" fillId="5" fontId="83" numFmtId="0" xfId="0" applyAlignment="1" applyBorder="1" applyFont="1">
      <alignment horizontal="center" vertical="center"/>
    </xf>
    <xf borderId="68" fillId="5" fontId="83" numFmtId="0" xfId="0" applyAlignment="1" applyBorder="1" applyFont="1">
      <alignment horizontal="center" vertical="center"/>
    </xf>
    <xf borderId="27" fillId="0" fontId="19" numFmtId="0" xfId="0" applyAlignment="1" applyBorder="1" applyFont="1">
      <alignment horizontal="center" vertical="center"/>
    </xf>
    <xf borderId="27" fillId="0" fontId="24" numFmtId="0" xfId="0" applyAlignment="1" applyBorder="1" applyFont="1">
      <alignment vertical="center"/>
    </xf>
    <xf borderId="27" fillId="0" fontId="24" numFmtId="0" xfId="0" applyAlignment="1" applyBorder="1" applyFont="1">
      <alignment horizontal="left" vertical="center"/>
    </xf>
    <xf borderId="27" fillId="0" fontId="19" numFmtId="0" xfId="0" applyAlignment="1" applyBorder="1" applyFont="1">
      <alignment horizontal="left" vertical="center"/>
    </xf>
    <xf borderId="0" fillId="0" fontId="5" numFmtId="0" xfId="0" applyAlignment="1" applyFont="1">
      <alignment horizontal="center" vertical="center"/>
    </xf>
    <xf borderId="0" fillId="0" fontId="20"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0</xdr:row>
      <xdr:rowOff>0</xdr:rowOff>
    </xdr:from>
    <xdr:ext cx="5095875" cy="477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0648950" cy="5267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ongobd.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KRAaF05DsHP2RCqh9PZVljKPBUaX4V1l/view?usp=drive_link" TargetMode="External"/><Relationship Id="rId22" Type="http://schemas.openxmlformats.org/officeDocument/2006/relationships/hyperlink" Target="http://localhost:1337/" TargetMode="External"/><Relationship Id="rId21" Type="http://schemas.openxmlformats.org/officeDocument/2006/relationships/hyperlink" Target="https://drive.google.com/file/d/14F0QvBterRbfbl_o9mNSG8CdaNVV-XEo/view?usp=drive_link" TargetMode="External"/><Relationship Id="rId24" Type="http://schemas.openxmlformats.org/officeDocument/2006/relationships/hyperlink" Target="https://drive.google.com/file/d/14AiJcQBF0wot_YvLbLHu9MJzWusTe35D/view?usp=drive_link" TargetMode="External"/><Relationship Id="rId23" Type="http://schemas.openxmlformats.org/officeDocument/2006/relationships/hyperlink" Target="https://drive.google.com/file/d/1-tEk4BscivvYdHyMNC8dqL7A7WwZqnDT/view?usp=drive_link" TargetMode="External"/><Relationship Id="rId1" Type="http://schemas.openxmlformats.org/officeDocument/2006/relationships/hyperlink" Target="https://bongobd.com/" TargetMode="External"/><Relationship Id="rId2" Type="http://schemas.openxmlformats.org/officeDocument/2006/relationships/hyperlink" Target="http://localhost:1337/" TargetMode="External"/><Relationship Id="rId3" Type="http://schemas.openxmlformats.org/officeDocument/2006/relationships/hyperlink" Target="https://drive.google.com/file/d/1ulV3SLkvii51VT0f-Bhnfhk_VYYkav10/view?usp=drive_link" TargetMode="External"/><Relationship Id="rId4" Type="http://schemas.openxmlformats.org/officeDocument/2006/relationships/hyperlink" Target="http://localhost:1337/" TargetMode="External"/><Relationship Id="rId9" Type="http://schemas.openxmlformats.org/officeDocument/2006/relationships/hyperlink" Target="http://localhost:1337/" TargetMode="External"/><Relationship Id="rId26" Type="http://schemas.openxmlformats.org/officeDocument/2006/relationships/hyperlink" Target="https://drive.google.com/file/d/1psIN5Cd38NYVP6iDpUSRTPjSDTFtJwFl/view?usp=drive_link" TargetMode="External"/><Relationship Id="rId25" Type="http://schemas.openxmlformats.org/officeDocument/2006/relationships/hyperlink" Target="https://drive.google.com/file/d/1TdWX2_BgyBF6wtsKaS3-radaSL6Wvu3D/view?usp=drive_link" TargetMode="External"/><Relationship Id="rId28" Type="http://schemas.openxmlformats.org/officeDocument/2006/relationships/hyperlink" Target="https://drive.google.com/file/d/15xTEePIusq2bKeMEpwuHSTf7uZn049HR/view?usp=drive_link" TargetMode="External"/><Relationship Id="rId27" Type="http://schemas.openxmlformats.org/officeDocument/2006/relationships/hyperlink" Target="https://drive.google.com/file/d/1SctSCuaLgk7A4qSSWPS0k47w9SmS_BWh/view?usp=drive_link" TargetMode="External"/><Relationship Id="rId5" Type="http://schemas.openxmlformats.org/officeDocument/2006/relationships/hyperlink" Target="http://localhost:1337/" TargetMode="External"/><Relationship Id="rId6" Type="http://schemas.openxmlformats.org/officeDocument/2006/relationships/hyperlink" Target="http://localhost:1337/" TargetMode="External"/><Relationship Id="rId29" Type="http://schemas.openxmlformats.org/officeDocument/2006/relationships/hyperlink" Target="https://drive.google.com/file/d/1-fh5tCxVh-FFOl-YBgr-R1rr40SUBucG/view?usp=drive_link" TargetMode="External"/><Relationship Id="rId7" Type="http://schemas.openxmlformats.org/officeDocument/2006/relationships/hyperlink" Target="http://localhost:1337/" TargetMode="External"/><Relationship Id="rId8" Type="http://schemas.openxmlformats.org/officeDocument/2006/relationships/hyperlink" Target="http://localhost:1337/" TargetMode="External"/><Relationship Id="rId31" Type="http://schemas.openxmlformats.org/officeDocument/2006/relationships/hyperlink" Target="https://drive.google.com/file/d/1RwGrrdFZNrYUUMHIQJQcK9AXeo32532E/view?usp=drive_link" TargetMode="External"/><Relationship Id="rId30" Type="http://schemas.openxmlformats.org/officeDocument/2006/relationships/hyperlink" Target="https://drive.google.com/file/d/1YIfDM5UjG6fcqsbkGydvmMayVcN14uLR/view?usp=drive_link" TargetMode="External"/><Relationship Id="rId11" Type="http://schemas.openxmlformats.org/officeDocument/2006/relationships/hyperlink" Target="http://localhost:1337/" TargetMode="External"/><Relationship Id="rId10" Type="http://schemas.openxmlformats.org/officeDocument/2006/relationships/hyperlink" Target="http://localhost:1337/" TargetMode="External"/><Relationship Id="rId32" Type="http://schemas.openxmlformats.org/officeDocument/2006/relationships/drawing" Target="../drawings/drawing4.xml"/><Relationship Id="rId13" Type="http://schemas.openxmlformats.org/officeDocument/2006/relationships/hyperlink" Target="http://localhost:1337/" TargetMode="External"/><Relationship Id="rId12" Type="http://schemas.openxmlformats.org/officeDocument/2006/relationships/hyperlink" Target="http://localhost:1337/" TargetMode="External"/><Relationship Id="rId15" Type="http://schemas.openxmlformats.org/officeDocument/2006/relationships/hyperlink" Target="http://localhost:1337/" TargetMode="External"/><Relationship Id="rId14" Type="http://schemas.openxmlformats.org/officeDocument/2006/relationships/hyperlink" Target="http://localhost:1337/" TargetMode="External"/><Relationship Id="rId17" Type="http://schemas.openxmlformats.org/officeDocument/2006/relationships/hyperlink" Target="https://drive.google.com/file/d/1sAYWsYBdOmNsvfVvg_oLxJPgAtRSVPYz/view?usp=drive_link" TargetMode="External"/><Relationship Id="rId16" Type="http://schemas.openxmlformats.org/officeDocument/2006/relationships/hyperlink" Target="https://drive.google.com/file/d/1cDqSmHcYQu_XO6o1TJchktceTydrIKPg/view?usp=drive_link" TargetMode="External"/><Relationship Id="rId19" Type="http://schemas.openxmlformats.org/officeDocument/2006/relationships/hyperlink" Target="https://drive.google.com/file/d/16in4gOpCOdRKd1kE6JtfQGesS4qzHUni/view?usp=drive_link" TargetMode="External"/><Relationship Id="rId18" Type="http://schemas.openxmlformats.org/officeDocument/2006/relationships/hyperlink" Target="https://drive.google.com/file/d/1MuzVF4HywgBjNzcxk0dSo4aSWyjuWisb/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ocalhost:1337/" TargetMode="External"/><Relationship Id="rId2" Type="http://schemas.openxmlformats.org/officeDocument/2006/relationships/hyperlink" Target="https://drive.google.com/file/d/1ulV3SLkvii51VT0f-Bhnfhk_VYYkav10/view?usp=drive_link" TargetMode="External"/><Relationship Id="rId3" Type="http://schemas.openxmlformats.org/officeDocument/2006/relationships/hyperlink" Target="https://drive.google.com/file/d/1cDqSmHcYQu_XO6o1TJchktceTydrIKPg/view?usp=drive_link" TargetMode="External"/><Relationship Id="rId4" Type="http://schemas.openxmlformats.org/officeDocument/2006/relationships/hyperlink" Target="http://localhost:1337/" TargetMode="External"/><Relationship Id="rId9" Type="http://schemas.openxmlformats.org/officeDocument/2006/relationships/hyperlink" Target="https://drive.google.com/file/d/1-tEk4BscivvYdHyMNC8dqL7A7WwZqnDT/view?usp=drive_link" TargetMode="External"/><Relationship Id="rId5" Type="http://schemas.openxmlformats.org/officeDocument/2006/relationships/hyperlink" Target="https://drive.google.com/file/d/1MuzVF4HywgBjNzcxk0dSo4aSWyjuWisb/view?usp=drive_link" TargetMode="External"/><Relationship Id="rId6" Type="http://schemas.openxmlformats.org/officeDocument/2006/relationships/hyperlink" Target="http://localhost:1337/" TargetMode="External"/><Relationship Id="rId7" Type="http://schemas.openxmlformats.org/officeDocument/2006/relationships/hyperlink" Target="https://drive.google.com/file/d/1KRAaF05DsHP2RCqh9PZVljKPBUaX4V1l/view?usp=drive_link" TargetMode="External"/><Relationship Id="rId8" Type="http://schemas.openxmlformats.org/officeDocument/2006/relationships/hyperlink" Target="http://localhost:1337/" TargetMode="External"/><Relationship Id="rId11" Type="http://schemas.openxmlformats.org/officeDocument/2006/relationships/hyperlink" Target="https://drive.google.com/file/d/1YIfDM5UjG6fcqsbkGydvmMayVcN14uLR/view?usp=drive_link" TargetMode="External"/><Relationship Id="rId10" Type="http://schemas.openxmlformats.org/officeDocument/2006/relationships/hyperlink" Target="http://localhost:1337/" TargetMode="External"/><Relationship Id="rId1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printOptions/>
  <pageMargins bottom="1.05277777777778" footer="0.0" header="0.0" left="0.7875" right="0.7875" top="1.05277777777778"/>
  <pageSetup orientation="portrait"/>
  <headerFooter>
    <oddHeader>&amp;Cffffff&amp;A</oddHeader>
    <oddFooter>&amp;CffffffPage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c r="H2" s="6" t="s">
        <v>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7"/>
    </row>
    <row r="31" ht="12.75" customHeight="1"/>
    <row r="32" ht="12.75" customHeight="1"/>
    <row r="33" ht="12.75" customHeight="1"/>
    <row r="34" ht="12.75" customHeight="1">
      <c r="X34" s="8"/>
    </row>
    <row r="35" ht="12.75" customHeight="1"/>
    <row r="36" ht="12.75" customHeight="1">
      <c r="U36" s="9"/>
    </row>
    <row r="37" ht="12.75" customHeight="1"/>
    <row r="38" ht="12.75" customHeight="1">
      <c r="U38" s="10"/>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H2:R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7"/>
      <c r="B1" s="7"/>
      <c r="C1" s="7"/>
      <c r="D1" s="7"/>
      <c r="E1" s="7"/>
      <c r="F1" s="7"/>
      <c r="G1" s="7"/>
      <c r="H1" s="7"/>
      <c r="I1" s="7"/>
    </row>
    <row r="2" ht="12.75" customHeight="1">
      <c r="A2" s="7"/>
      <c r="B2" s="7"/>
      <c r="C2" s="7"/>
      <c r="D2" s="7"/>
      <c r="E2" s="7"/>
      <c r="F2" s="7"/>
      <c r="G2" s="7"/>
      <c r="H2" s="7"/>
      <c r="I2" s="7"/>
    </row>
    <row r="3" ht="12.75" customHeight="1">
      <c r="A3" s="7"/>
      <c r="B3" s="7"/>
      <c r="C3" s="7"/>
      <c r="D3" s="7"/>
      <c r="E3" s="7"/>
      <c r="F3" s="7"/>
      <c r="G3" s="7"/>
      <c r="H3" s="7"/>
      <c r="I3" s="7"/>
    </row>
    <row r="4" ht="12.75" customHeight="1">
      <c r="A4" s="11" t="s">
        <v>1</v>
      </c>
      <c r="B4" s="12" t="s">
        <v>2</v>
      </c>
      <c r="C4" s="13"/>
      <c r="D4" s="14"/>
      <c r="E4" s="14"/>
      <c r="F4" s="7"/>
      <c r="G4" s="7"/>
      <c r="H4" s="7"/>
      <c r="I4" s="7"/>
    </row>
    <row r="5" ht="12.75" customHeight="1">
      <c r="A5" s="11" t="s">
        <v>3</v>
      </c>
      <c r="B5" s="15" t="s">
        <v>4</v>
      </c>
      <c r="C5" s="16"/>
      <c r="D5" s="14"/>
      <c r="E5" s="14"/>
      <c r="F5" s="7"/>
      <c r="G5" s="7"/>
      <c r="H5" s="7"/>
      <c r="I5" s="7"/>
    </row>
    <row r="6" ht="12.75" customHeight="1">
      <c r="A6" s="11" t="s">
        <v>5</v>
      </c>
      <c r="B6" s="17" t="s">
        <v>6</v>
      </c>
      <c r="C6" s="16"/>
      <c r="D6" s="14"/>
      <c r="E6" s="14"/>
      <c r="F6" s="7"/>
      <c r="G6" s="7"/>
      <c r="H6" s="7"/>
      <c r="I6" s="7"/>
    </row>
    <row r="7" ht="12.75" customHeight="1">
      <c r="A7" s="11" t="s">
        <v>7</v>
      </c>
      <c r="B7" s="18">
        <v>45708.0</v>
      </c>
      <c r="C7" s="16"/>
      <c r="D7" s="14"/>
      <c r="E7" s="14"/>
      <c r="F7" s="7"/>
      <c r="G7" s="7"/>
      <c r="H7" s="7"/>
      <c r="I7" s="7"/>
    </row>
    <row r="8" ht="12.75" customHeight="1">
      <c r="A8" s="11" t="s">
        <v>8</v>
      </c>
      <c r="B8" s="15"/>
      <c r="C8" s="16"/>
      <c r="D8" s="14"/>
      <c r="E8" s="14"/>
      <c r="F8" s="7"/>
      <c r="G8" s="7"/>
      <c r="H8" s="7"/>
      <c r="I8" s="7"/>
    </row>
    <row r="9" ht="12.75" customHeight="1">
      <c r="A9" s="14"/>
      <c r="B9" s="19"/>
      <c r="C9" s="20"/>
      <c r="D9" s="14"/>
      <c r="E9" s="14"/>
      <c r="F9" s="7"/>
      <c r="G9" s="7"/>
      <c r="H9" s="7"/>
      <c r="I9" s="7"/>
    </row>
    <row r="10" ht="12.75" customHeight="1">
      <c r="A10" s="14"/>
      <c r="B10" s="19"/>
      <c r="C10" s="20"/>
      <c r="D10" s="14"/>
      <c r="E10" s="14"/>
      <c r="F10" s="7"/>
      <c r="G10" s="7"/>
      <c r="H10" s="7"/>
      <c r="I10" s="7"/>
    </row>
    <row r="11" ht="12.75" customHeight="1">
      <c r="A11" s="21"/>
      <c r="B11" s="22"/>
      <c r="C11" s="23"/>
      <c r="D11" s="14"/>
      <c r="E11" s="14"/>
      <c r="F11" s="7"/>
      <c r="G11" s="7"/>
      <c r="H11" s="7"/>
      <c r="I11" s="7"/>
    </row>
    <row r="12" ht="12.75" customHeight="1">
      <c r="A12" s="24" t="s">
        <v>9</v>
      </c>
      <c r="B12" s="25" t="s">
        <v>10</v>
      </c>
      <c r="C12" s="26" t="s">
        <v>11</v>
      </c>
      <c r="D12" s="25" t="s">
        <v>12</v>
      </c>
      <c r="E12" s="25" t="s">
        <v>13</v>
      </c>
      <c r="F12" s="7"/>
      <c r="G12" s="7"/>
      <c r="H12" s="7"/>
      <c r="I12" s="7"/>
    </row>
    <row r="13" ht="12.75" customHeight="1">
      <c r="A13" s="27"/>
      <c r="B13" s="16"/>
      <c r="C13" s="16"/>
      <c r="D13" s="16"/>
      <c r="E13" s="16"/>
      <c r="F13" s="7"/>
      <c r="G13" s="7"/>
      <c r="H13" s="7"/>
      <c r="I13" s="7"/>
    </row>
    <row r="14" ht="12.75" customHeight="1">
      <c r="A14" s="28" t="s">
        <v>14</v>
      </c>
      <c r="B14" s="29"/>
      <c r="C14" s="30" t="s">
        <v>15</v>
      </c>
      <c r="D14" s="31" t="s">
        <v>16</v>
      </c>
      <c r="E14" s="29">
        <v>27.0</v>
      </c>
      <c r="F14" s="7"/>
      <c r="G14" s="7"/>
      <c r="H14" s="7"/>
      <c r="I14" s="7"/>
    </row>
    <row r="15" ht="12.75" customHeight="1">
      <c r="A15" s="28" t="s">
        <v>17</v>
      </c>
      <c r="B15" s="29"/>
      <c r="C15" s="30" t="s">
        <v>18</v>
      </c>
      <c r="D15" s="31" t="s">
        <v>16</v>
      </c>
      <c r="E15" s="29">
        <v>15.0</v>
      </c>
      <c r="F15" s="7"/>
      <c r="G15" s="7"/>
      <c r="H15" s="7"/>
      <c r="I15" s="7"/>
    </row>
    <row r="16" ht="12.75" customHeight="1">
      <c r="A16" s="32" t="s">
        <v>19</v>
      </c>
      <c r="B16" s="33"/>
      <c r="C16" s="34" t="s">
        <v>20</v>
      </c>
      <c r="D16" s="35" t="s">
        <v>16</v>
      </c>
      <c r="E16" s="33">
        <v>3.0</v>
      </c>
      <c r="F16" s="7"/>
      <c r="G16" s="7"/>
      <c r="H16" s="7"/>
      <c r="I16" s="7"/>
    </row>
    <row r="17" ht="12.75" customHeight="1">
      <c r="A17" s="28" t="s">
        <v>21</v>
      </c>
      <c r="B17" s="29"/>
      <c r="C17" s="30" t="s">
        <v>22</v>
      </c>
      <c r="D17" s="31" t="s">
        <v>16</v>
      </c>
      <c r="E17" s="29">
        <v>12.0</v>
      </c>
      <c r="F17" s="7"/>
      <c r="G17" s="7"/>
      <c r="H17" s="7"/>
      <c r="I17" s="7"/>
    </row>
    <row r="18" ht="12.75" customHeight="1">
      <c r="A18" s="36"/>
      <c r="B18" s="37"/>
      <c r="C18" s="38"/>
      <c r="D18" s="39"/>
      <c r="E18" s="37"/>
      <c r="F18" s="7"/>
      <c r="G18" s="7"/>
      <c r="H18" s="7"/>
      <c r="I18" s="7"/>
    </row>
    <row r="19" ht="12.75" customHeight="1">
      <c r="A19" s="28" t="s">
        <v>23</v>
      </c>
      <c r="B19" s="29"/>
      <c r="C19" s="40" t="s">
        <v>24</v>
      </c>
      <c r="D19" s="31" t="s">
        <v>25</v>
      </c>
      <c r="E19" s="29">
        <v>6.0</v>
      </c>
      <c r="F19" s="7"/>
      <c r="G19" s="7"/>
      <c r="H19" s="7"/>
      <c r="I19" s="7"/>
    </row>
    <row r="20" ht="12.75" customHeight="1">
      <c r="A20" s="28"/>
      <c r="B20" s="29"/>
      <c r="C20" s="30"/>
      <c r="D20" s="31"/>
      <c r="E20" s="29"/>
      <c r="F20" s="7"/>
      <c r="G20" s="7"/>
      <c r="H20" s="7"/>
      <c r="I20" s="7"/>
    </row>
    <row r="21" ht="12.75" customHeight="1">
      <c r="A21" s="28" t="s">
        <v>26</v>
      </c>
      <c r="B21" s="29"/>
      <c r="C21" s="30" t="s">
        <v>27</v>
      </c>
      <c r="D21" s="31" t="s">
        <v>28</v>
      </c>
      <c r="E21" s="29">
        <v>6.0</v>
      </c>
      <c r="F21" s="7"/>
      <c r="G21" s="7"/>
      <c r="H21" s="7"/>
      <c r="I21" s="7"/>
    </row>
    <row r="22" ht="12.75" customHeight="1">
      <c r="A22" s="36"/>
      <c r="B22" s="37"/>
      <c r="C22" s="38"/>
      <c r="D22" s="39"/>
      <c r="E22" s="37"/>
      <c r="F22" s="7"/>
      <c r="G22" s="7"/>
      <c r="H22" s="7"/>
      <c r="I22" s="7"/>
    </row>
    <row r="23" ht="12.75" customHeight="1">
      <c r="A23" s="28" t="s">
        <v>29</v>
      </c>
      <c r="B23" s="29"/>
      <c r="C23" s="30" t="s">
        <v>30</v>
      </c>
      <c r="D23" s="31" t="s">
        <v>31</v>
      </c>
      <c r="E23" s="29">
        <v>7.0</v>
      </c>
      <c r="F23" s="7"/>
      <c r="G23" s="7"/>
      <c r="H23" s="7"/>
      <c r="I23" s="7"/>
    </row>
    <row r="24" ht="12.75" customHeight="1">
      <c r="A24" s="41"/>
      <c r="B24" s="42"/>
      <c r="C24" s="43"/>
      <c r="D24" s="44"/>
      <c r="E24" s="42"/>
      <c r="F24" s="7"/>
      <c r="G24" s="7"/>
      <c r="H24" s="7"/>
      <c r="I24" s="7"/>
    </row>
    <row r="25" ht="12.75" customHeight="1">
      <c r="A25" s="28" t="s">
        <v>32</v>
      </c>
      <c r="B25" s="29"/>
      <c r="C25" s="30" t="s">
        <v>33</v>
      </c>
      <c r="D25" s="31" t="s">
        <v>34</v>
      </c>
      <c r="E25" s="29">
        <v>5.0</v>
      </c>
      <c r="F25" s="7"/>
      <c r="G25" s="7"/>
      <c r="H25" s="7"/>
      <c r="I25" s="7"/>
    </row>
    <row r="26" ht="12.75" customHeight="1">
      <c r="A26" s="28"/>
      <c r="B26" s="29"/>
      <c r="C26" s="30"/>
      <c r="D26" s="31"/>
      <c r="E26" s="29"/>
      <c r="F26" s="7"/>
      <c r="G26" s="7"/>
      <c r="H26" s="7"/>
      <c r="I26" s="7"/>
    </row>
    <row r="27" ht="12.75" customHeight="1">
      <c r="A27" s="28" t="s">
        <v>35</v>
      </c>
      <c r="B27" s="29"/>
      <c r="C27" s="45" t="s">
        <v>36</v>
      </c>
      <c r="D27" s="31" t="s">
        <v>16</v>
      </c>
      <c r="E27" s="29">
        <v>1.0</v>
      </c>
      <c r="F27" s="7"/>
      <c r="G27" s="7"/>
      <c r="H27" s="7"/>
      <c r="I27" s="7"/>
    </row>
    <row r="28" ht="12.75" customHeight="1">
      <c r="A28" s="7"/>
      <c r="B28" s="7"/>
      <c r="C28" s="7"/>
      <c r="D28" s="7"/>
      <c r="E28" s="7"/>
      <c r="F28" s="7"/>
      <c r="G28" s="7"/>
      <c r="H28" s="7"/>
      <c r="I28" s="7"/>
    </row>
    <row r="29" ht="12.75" customHeight="1">
      <c r="A29" s="7"/>
      <c r="B29" s="7"/>
      <c r="C29" s="7"/>
      <c r="D29" s="7"/>
      <c r="E29" s="7"/>
      <c r="F29" s="7"/>
      <c r="G29" s="7"/>
      <c r="H29" s="7"/>
      <c r="I29" s="7"/>
    </row>
    <row r="30" ht="12.75" customHeight="1">
      <c r="F30" s="7"/>
      <c r="G30" s="7"/>
      <c r="H30" s="7"/>
      <c r="I30" s="7"/>
    </row>
    <row r="31" ht="12.75" customHeight="1">
      <c r="F31" s="7"/>
      <c r="G31" s="7"/>
      <c r="H31" s="7"/>
      <c r="I31" s="7"/>
    </row>
    <row r="32" ht="12.75" customHeight="1">
      <c r="F32" s="7"/>
      <c r="G32" s="7"/>
      <c r="H32" s="7"/>
      <c r="I32" s="7"/>
    </row>
    <row r="33" ht="12.75" customHeight="1">
      <c r="A33" s="7"/>
      <c r="B33" s="7"/>
      <c r="C33" s="7"/>
      <c r="D33" s="7"/>
      <c r="E33" s="7"/>
      <c r="F33" s="7"/>
      <c r="G33" s="7"/>
      <c r="H33" s="7"/>
      <c r="I33" s="7"/>
    </row>
    <row r="34" ht="12.75" customHeight="1">
      <c r="A34" s="7"/>
      <c r="B34" s="7"/>
      <c r="C34" s="7"/>
      <c r="D34" s="7"/>
      <c r="E34" s="7"/>
      <c r="F34" s="7"/>
      <c r="G34" s="7"/>
      <c r="H34" s="7"/>
      <c r="I34" s="7"/>
    </row>
    <row r="35" ht="12.75" customHeight="1">
      <c r="A35" s="7"/>
      <c r="B35" s="7"/>
      <c r="C35" s="7"/>
      <c r="D35" s="7"/>
      <c r="E35" s="7"/>
      <c r="F35" s="7"/>
      <c r="G35" s="7"/>
      <c r="H35" s="7"/>
      <c r="I35" s="7"/>
    </row>
    <row r="36" ht="12.75" customHeight="1">
      <c r="A36" s="7"/>
      <c r="B36" s="7"/>
      <c r="C36" s="7"/>
      <c r="D36" s="7"/>
      <c r="E36" s="7"/>
      <c r="F36" s="7"/>
      <c r="G36" s="7"/>
      <c r="H36" s="7"/>
      <c r="I36" s="7"/>
    </row>
    <row r="37" ht="12.75" customHeight="1">
      <c r="A37" s="7"/>
      <c r="B37" s="7"/>
      <c r="C37" s="7"/>
      <c r="D37" s="7"/>
      <c r="E37" s="7"/>
      <c r="F37" s="7"/>
      <c r="G37" s="7"/>
      <c r="H37" s="7"/>
      <c r="I37" s="7"/>
    </row>
    <row r="38" ht="12.75" customHeight="1">
      <c r="A38" s="7"/>
      <c r="B38" s="7"/>
      <c r="C38" s="7"/>
      <c r="D38" s="7"/>
      <c r="E38" s="7"/>
      <c r="F38" s="7"/>
      <c r="G38" s="7"/>
      <c r="H38" s="7"/>
      <c r="I38" s="7"/>
    </row>
    <row r="39" ht="12.75" customHeight="1">
      <c r="A39" s="7"/>
      <c r="B39" s="7"/>
      <c r="C39" s="7"/>
      <c r="D39" s="7"/>
      <c r="E39" s="7"/>
      <c r="F39" s="7"/>
      <c r="G39" s="7"/>
      <c r="H39" s="7"/>
      <c r="I39" s="7"/>
    </row>
    <row r="40" ht="12.75" customHeight="1">
      <c r="A40" s="7"/>
      <c r="B40" s="7"/>
      <c r="C40" s="7"/>
      <c r="D40" s="7"/>
      <c r="E40" s="7"/>
      <c r="F40" s="7"/>
      <c r="G40" s="7"/>
      <c r="H40" s="7"/>
      <c r="I40" s="7"/>
    </row>
    <row r="41" ht="12.75" customHeight="1">
      <c r="A41" s="7"/>
      <c r="B41" s="7"/>
      <c r="C41" s="7"/>
      <c r="D41" s="7"/>
      <c r="E41" s="7"/>
      <c r="F41" s="7"/>
      <c r="G41" s="7"/>
      <c r="H41" s="7"/>
      <c r="I41" s="7"/>
    </row>
    <row r="42" ht="12.75" customHeight="1">
      <c r="A42" s="7"/>
      <c r="B42" s="7"/>
      <c r="C42" s="7"/>
      <c r="D42" s="7"/>
      <c r="E42" s="7"/>
      <c r="F42" s="7"/>
      <c r="G42" s="7"/>
      <c r="H42" s="7"/>
      <c r="I42" s="7"/>
    </row>
    <row r="43" ht="12.75" customHeight="1">
      <c r="A43" s="7"/>
      <c r="B43" s="7"/>
      <c r="C43" s="7"/>
      <c r="D43" s="7"/>
      <c r="E43" s="7"/>
      <c r="F43" s="7"/>
      <c r="G43" s="7"/>
      <c r="H43" s="7"/>
      <c r="I43" s="7"/>
    </row>
    <row r="44" ht="12.75" customHeight="1">
      <c r="A44" s="7"/>
      <c r="B44" s="7"/>
      <c r="C44" s="7"/>
      <c r="D44" s="7"/>
      <c r="E44" s="7"/>
      <c r="F44" s="7"/>
      <c r="G44" s="7"/>
      <c r="H44" s="7"/>
      <c r="I44" s="7"/>
    </row>
    <row r="45" ht="12.75" customHeight="1">
      <c r="A45" s="7"/>
      <c r="B45" s="7"/>
      <c r="C45" s="7"/>
      <c r="D45" s="7"/>
      <c r="E45" s="7"/>
      <c r="F45" s="7"/>
      <c r="G45" s="7"/>
      <c r="H45" s="7"/>
      <c r="I45" s="7"/>
    </row>
    <row r="46" ht="12.75" customHeight="1">
      <c r="A46" s="7"/>
      <c r="B46" s="7"/>
      <c r="C46" s="7"/>
      <c r="D46" s="7"/>
      <c r="E46" s="7"/>
      <c r="F46" s="7"/>
      <c r="G46" s="7"/>
      <c r="H46" s="7"/>
      <c r="I46" s="7"/>
    </row>
    <row r="47" ht="12.75" customHeight="1">
      <c r="A47" s="7"/>
      <c r="B47" s="7"/>
      <c r="C47" s="7"/>
      <c r="D47" s="7"/>
      <c r="E47" s="7"/>
      <c r="F47" s="7"/>
      <c r="G47" s="7"/>
      <c r="H47" s="7"/>
      <c r="I47" s="7"/>
    </row>
    <row r="48" ht="12.75" customHeight="1">
      <c r="A48" s="7"/>
      <c r="B48" s="7"/>
      <c r="C48" s="7"/>
      <c r="D48" s="7"/>
      <c r="E48" s="7"/>
      <c r="F48" s="7"/>
      <c r="G48" s="7"/>
      <c r="H48" s="7"/>
      <c r="I48" s="7"/>
    </row>
    <row r="49" ht="12.75" customHeight="1">
      <c r="A49" s="7"/>
      <c r="B49" s="7"/>
      <c r="C49" s="7"/>
      <c r="D49" s="7"/>
      <c r="E49" s="7"/>
      <c r="F49" s="7"/>
      <c r="G49" s="7"/>
      <c r="H49" s="7"/>
      <c r="I49" s="7"/>
    </row>
    <row r="50" ht="12.75" customHeight="1">
      <c r="A50" s="7"/>
      <c r="B50" s="7"/>
      <c r="C50" s="7"/>
      <c r="D50" s="7"/>
      <c r="E50" s="7"/>
      <c r="F50" s="7"/>
      <c r="G50" s="7"/>
      <c r="H50" s="7"/>
      <c r="I50" s="7"/>
    </row>
    <row r="51" ht="12.75" customHeight="1">
      <c r="A51" s="7"/>
      <c r="B51" s="7"/>
      <c r="C51" s="7"/>
      <c r="D51" s="7"/>
      <c r="E51" s="7"/>
      <c r="F51" s="7"/>
      <c r="G51" s="7"/>
      <c r="H51" s="7"/>
      <c r="I51" s="7"/>
    </row>
    <row r="52" ht="12.75" customHeight="1">
      <c r="A52" s="7"/>
      <c r="B52" s="7"/>
      <c r="C52" s="7"/>
      <c r="D52" s="7"/>
      <c r="E52" s="7"/>
      <c r="F52" s="7"/>
      <c r="G52" s="7"/>
      <c r="H52" s="7"/>
      <c r="I52" s="7"/>
    </row>
    <row r="53" ht="12.75" customHeight="1">
      <c r="A53" s="7"/>
      <c r="B53" s="7"/>
      <c r="C53" s="7"/>
      <c r="D53" s="7"/>
      <c r="E53" s="7"/>
      <c r="F53" s="7"/>
      <c r="G53" s="7"/>
      <c r="H53" s="7"/>
      <c r="I53" s="7"/>
    </row>
    <row r="54" ht="12.75" customHeight="1">
      <c r="A54" s="7"/>
      <c r="B54" s="7"/>
      <c r="C54" s="7"/>
      <c r="D54" s="7"/>
      <c r="E54" s="7"/>
      <c r="F54" s="7"/>
      <c r="G54" s="7"/>
      <c r="H54" s="7"/>
      <c r="I54" s="7"/>
    </row>
    <row r="55" ht="12.75" customHeight="1">
      <c r="A55" s="7"/>
      <c r="B55" s="7"/>
      <c r="C55" s="7"/>
      <c r="D55" s="7"/>
      <c r="E55" s="7"/>
      <c r="F55" s="7"/>
      <c r="G55" s="7"/>
      <c r="H55" s="7"/>
      <c r="I55" s="7"/>
    </row>
    <row r="56" ht="12.75" customHeight="1">
      <c r="A56" s="7"/>
      <c r="B56" s="7"/>
      <c r="C56" s="7"/>
      <c r="D56" s="7"/>
      <c r="E56" s="7"/>
      <c r="F56" s="7"/>
      <c r="G56" s="7"/>
      <c r="H56" s="7"/>
      <c r="I56" s="7"/>
    </row>
    <row r="57" ht="12.75" customHeight="1">
      <c r="A57" s="7"/>
      <c r="B57" s="7"/>
      <c r="C57" s="7"/>
      <c r="D57" s="7"/>
      <c r="E57" s="7"/>
      <c r="F57" s="7"/>
      <c r="G57" s="7"/>
      <c r="H57" s="7"/>
      <c r="I57" s="7"/>
    </row>
    <row r="58" ht="12.75" customHeight="1">
      <c r="A58" s="7"/>
      <c r="B58" s="7"/>
      <c r="C58" s="7"/>
      <c r="D58" s="7"/>
      <c r="E58" s="7"/>
      <c r="F58" s="7"/>
      <c r="G58" s="7"/>
      <c r="H58" s="7"/>
      <c r="I58" s="7"/>
    </row>
    <row r="59" ht="12.75" customHeight="1">
      <c r="A59" s="7"/>
      <c r="B59" s="7"/>
      <c r="C59" s="7"/>
      <c r="D59" s="7"/>
      <c r="E59" s="7"/>
      <c r="F59" s="7"/>
      <c r="G59" s="7"/>
      <c r="H59" s="7"/>
      <c r="I59" s="7"/>
    </row>
    <row r="60" ht="12.75" customHeight="1">
      <c r="A60" s="7"/>
      <c r="B60" s="7"/>
      <c r="C60" s="7"/>
      <c r="D60" s="7"/>
      <c r="E60" s="7"/>
      <c r="F60" s="7"/>
      <c r="G60" s="7"/>
      <c r="H60" s="7"/>
      <c r="I60" s="7"/>
    </row>
    <row r="61" ht="12.75" customHeight="1">
      <c r="A61" s="7"/>
      <c r="B61" s="7"/>
      <c r="C61" s="7"/>
      <c r="D61" s="7"/>
      <c r="E61" s="7"/>
      <c r="F61" s="7"/>
      <c r="G61" s="7"/>
      <c r="H61" s="7"/>
      <c r="I61" s="7"/>
    </row>
    <row r="62" ht="12.75" customHeight="1">
      <c r="A62" s="7"/>
      <c r="B62" s="7"/>
      <c r="C62" s="7"/>
      <c r="D62" s="7"/>
      <c r="E62" s="7"/>
      <c r="F62" s="7"/>
      <c r="G62" s="7"/>
      <c r="H62" s="7"/>
      <c r="I62" s="7"/>
    </row>
    <row r="63" ht="12.75" customHeight="1">
      <c r="A63" s="7"/>
      <c r="B63" s="7"/>
      <c r="C63" s="7"/>
      <c r="D63" s="7"/>
      <c r="E63" s="7"/>
      <c r="F63" s="7"/>
      <c r="G63" s="7"/>
      <c r="H63" s="7"/>
      <c r="I63" s="7"/>
    </row>
    <row r="64" ht="12.75" customHeight="1">
      <c r="A64" s="7"/>
      <c r="B64" s="7"/>
      <c r="C64" s="7"/>
      <c r="D64" s="7"/>
      <c r="E64" s="7"/>
      <c r="F64" s="7"/>
      <c r="G64" s="7"/>
      <c r="H64" s="7"/>
      <c r="I64" s="7"/>
    </row>
    <row r="65" ht="12.75" customHeight="1">
      <c r="A65" s="7"/>
      <c r="B65" s="7"/>
      <c r="C65" s="7"/>
      <c r="D65" s="7"/>
      <c r="E65" s="7"/>
      <c r="F65" s="7"/>
      <c r="G65" s="7"/>
      <c r="H65" s="7"/>
      <c r="I65" s="7"/>
    </row>
    <row r="66" ht="12.75" customHeight="1">
      <c r="A66" s="7"/>
      <c r="B66" s="7"/>
      <c r="C66" s="7"/>
      <c r="D66" s="7"/>
      <c r="E66" s="7"/>
      <c r="F66" s="7"/>
      <c r="G66" s="7"/>
      <c r="H66" s="7"/>
      <c r="I66" s="7"/>
    </row>
    <row r="67" ht="12.75" customHeight="1">
      <c r="A67" s="7"/>
      <c r="B67" s="7"/>
      <c r="C67" s="7"/>
      <c r="D67" s="7"/>
      <c r="E67" s="7"/>
      <c r="F67" s="7"/>
      <c r="G67" s="7"/>
      <c r="H67" s="7"/>
      <c r="I67" s="7"/>
    </row>
    <row r="68" ht="12.75" customHeight="1">
      <c r="A68" s="7"/>
      <c r="B68" s="7"/>
      <c r="C68" s="7"/>
      <c r="D68" s="7"/>
      <c r="E68" s="7"/>
      <c r="F68" s="7"/>
      <c r="G68" s="7"/>
      <c r="H68" s="7"/>
      <c r="I68" s="7"/>
    </row>
    <row r="69" ht="12.75" customHeight="1">
      <c r="A69" s="7"/>
      <c r="B69" s="7"/>
      <c r="C69" s="7"/>
      <c r="D69" s="7"/>
      <c r="E69" s="7"/>
      <c r="F69" s="7"/>
      <c r="G69" s="7"/>
      <c r="H69" s="7"/>
      <c r="I69" s="7"/>
    </row>
    <row r="70" ht="12.75" customHeight="1">
      <c r="A70" s="7"/>
      <c r="B70" s="7"/>
      <c r="C70" s="7"/>
      <c r="D70" s="7"/>
      <c r="E70" s="7"/>
      <c r="F70" s="7"/>
      <c r="G70" s="7"/>
      <c r="H70" s="7"/>
      <c r="I70" s="7"/>
    </row>
    <row r="71" ht="12.75" customHeight="1">
      <c r="A71" s="7"/>
      <c r="B71" s="7"/>
      <c r="C71" s="7"/>
      <c r="D71" s="7"/>
      <c r="E71" s="7"/>
      <c r="F71" s="7"/>
      <c r="G71" s="7"/>
      <c r="H71" s="7"/>
      <c r="I71" s="7"/>
    </row>
    <row r="72" ht="12.75" customHeight="1">
      <c r="A72" s="7"/>
      <c r="B72" s="7"/>
      <c r="C72" s="7"/>
      <c r="D72" s="7"/>
      <c r="E72" s="7"/>
      <c r="F72" s="7"/>
      <c r="G72" s="7"/>
      <c r="H72" s="7"/>
      <c r="I72" s="7"/>
    </row>
    <row r="73" ht="12.75" customHeight="1">
      <c r="A73" s="7"/>
      <c r="B73" s="7"/>
      <c r="C73" s="7"/>
      <c r="D73" s="7"/>
      <c r="E73" s="7"/>
      <c r="F73" s="7"/>
      <c r="G73" s="7"/>
      <c r="H73" s="7"/>
      <c r="I73" s="7"/>
    </row>
    <row r="74" ht="12.75" customHeight="1">
      <c r="A74" s="7"/>
      <c r="B74" s="7"/>
      <c r="C74" s="7"/>
      <c r="D74" s="7"/>
      <c r="E74" s="7"/>
      <c r="F74" s="7"/>
      <c r="G74" s="7"/>
      <c r="H74" s="7"/>
      <c r="I74" s="7"/>
    </row>
    <row r="75" ht="12.75" customHeight="1">
      <c r="A75" s="7"/>
      <c r="B75" s="7"/>
      <c r="C75" s="7"/>
      <c r="D75" s="7"/>
      <c r="E75" s="7"/>
      <c r="F75" s="7"/>
      <c r="G75" s="7"/>
      <c r="H75" s="7"/>
      <c r="I75" s="7"/>
    </row>
    <row r="76" ht="12.75" customHeight="1">
      <c r="A76" s="7"/>
      <c r="B76" s="7"/>
      <c r="C76" s="7"/>
      <c r="D76" s="7"/>
      <c r="E76" s="7"/>
      <c r="F76" s="7"/>
      <c r="G76" s="7"/>
      <c r="H76" s="7"/>
      <c r="I76" s="7"/>
    </row>
    <row r="77" ht="12.75" customHeight="1">
      <c r="A77" s="7"/>
      <c r="B77" s="7"/>
      <c r="C77" s="7"/>
      <c r="D77" s="7"/>
      <c r="E77" s="7"/>
      <c r="F77" s="7"/>
      <c r="G77" s="7"/>
      <c r="H77" s="7"/>
      <c r="I77" s="7"/>
    </row>
    <row r="78" ht="12.75" customHeight="1">
      <c r="A78" s="7"/>
      <c r="B78" s="7"/>
      <c r="C78" s="7"/>
      <c r="D78" s="7"/>
      <c r="E78" s="7"/>
      <c r="F78" s="7"/>
      <c r="G78" s="7"/>
      <c r="H78" s="7"/>
      <c r="I78" s="7"/>
    </row>
    <row r="79" ht="12.75" customHeight="1">
      <c r="A79" s="7"/>
      <c r="B79" s="7"/>
      <c r="C79" s="7"/>
      <c r="D79" s="7"/>
      <c r="E79" s="7"/>
      <c r="F79" s="7"/>
      <c r="G79" s="7"/>
      <c r="H79" s="7"/>
      <c r="I79" s="7"/>
    </row>
    <row r="80" ht="12.75" customHeight="1">
      <c r="A80" s="7"/>
      <c r="B80" s="7"/>
      <c r="C80" s="7"/>
      <c r="D80" s="7"/>
      <c r="E80" s="7"/>
      <c r="F80" s="7"/>
      <c r="G80" s="7"/>
      <c r="H80" s="7"/>
      <c r="I80" s="7"/>
    </row>
    <row r="81" ht="12.75" customHeight="1">
      <c r="A81" s="7"/>
      <c r="B81" s="7"/>
      <c r="C81" s="7"/>
      <c r="D81" s="7"/>
      <c r="E81" s="7"/>
      <c r="F81" s="7"/>
      <c r="G81" s="7"/>
      <c r="H81" s="7"/>
      <c r="I81" s="7"/>
    </row>
    <row r="82" ht="12.75" customHeight="1">
      <c r="A82" s="7"/>
      <c r="B82" s="7"/>
      <c r="C82" s="7"/>
      <c r="D82" s="7"/>
      <c r="E82" s="7"/>
      <c r="F82" s="7"/>
      <c r="G82" s="7"/>
      <c r="H82" s="7"/>
      <c r="I82" s="7"/>
    </row>
    <row r="83" ht="12.75" customHeight="1">
      <c r="A83" s="7"/>
      <c r="B83" s="7"/>
      <c r="C83" s="7"/>
      <c r="D83" s="7"/>
      <c r="E83" s="7"/>
      <c r="F83" s="7"/>
      <c r="G83" s="7"/>
      <c r="H83" s="7"/>
      <c r="I83" s="7"/>
    </row>
    <row r="84" ht="12.75" customHeight="1">
      <c r="A84" s="7"/>
      <c r="B84" s="7"/>
      <c r="C84" s="7"/>
      <c r="D84" s="7"/>
      <c r="E84" s="7"/>
      <c r="F84" s="7"/>
      <c r="G84" s="7"/>
      <c r="H84" s="7"/>
      <c r="I84" s="7"/>
    </row>
    <row r="85" ht="12.75" customHeight="1">
      <c r="A85" s="7"/>
      <c r="B85" s="7"/>
      <c r="C85" s="7"/>
      <c r="D85" s="7"/>
      <c r="E85" s="7"/>
      <c r="F85" s="7"/>
      <c r="G85" s="7"/>
      <c r="H85" s="7"/>
      <c r="I85" s="7"/>
    </row>
    <row r="86" ht="12.75" customHeight="1">
      <c r="A86" s="7"/>
      <c r="B86" s="7"/>
      <c r="C86" s="7"/>
      <c r="D86" s="7"/>
      <c r="E86" s="7"/>
      <c r="F86" s="7"/>
      <c r="G86" s="7"/>
      <c r="H86" s="7"/>
      <c r="I86" s="7"/>
    </row>
    <row r="87" ht="12.75" customHeight="1">
      <c r="A87" s="7"/>
      <c r="B87" s="7"/>
      <c r="C87" s="7"/>
      <c r="D87" s="7"/>
      <c r="E87" s="7"/>
      <c r="F87" s="7"/>
      <c r="G87" s="7"/>
      <c r="H87" s="7"/>
      <c r="I87" s="7"/>
    </row>
    <row r="88" ht="12.75" customHeight="1">
      <c r="A88" s="7"/>
      <c r="B88" s="7"/>
      <c r="C88" s="7"/>
      <c r="D88" s="7"/>
      <c r="E88" s="7"/>
      <c r="F88" s="7"/>
      <c r="G88" s="7"/>
      <c r="H88" s="7"/>
      <c r="I88" s="7"/>
    </row>
    <row r="89" ht="12.75" customHeight="1">
      <c r="A89" s="7"/>
      <c r="B89" s="7"/>
      <c r="C89" s="7"/>
      <c r="D89" s="7"/>
      <c r="E89" s="7"/>
      <c r="F89" s="7"/>
      <c r="G89" s="7"/>
      <c r="H89" s="7"/>
      <c r="I89" s="7"/>
    </row>
    <row r="90" ht="12.75" customHeight="1">
      <c r="A90" s="7"/>
      <c r="B90" s="7"/>
      <c r="C90" s="7"/>
      <c r="D90" s="7"/>
      <c r="E90" s="7"/>
      <c r="F90" s="7"/>
      <c r="G90" s="7"/>
      <c r="H90" s="7"/>
      <c r="I90" s="7"/>
    </row>
    <row r="91" ht="12.75" customHeight="1">
      <c r="A91" s="7"/>
      <c r="B91" s="7"/>
      <c r="C91" s="7"/>
      <c r="D91" s="7"/>
      <c r="E91" s="7"/>
      <c r="F91" s="7"/>
      <c r="G91" s="7"/>
      <c r="H91" s="7"/>
      <c r="I91" s="7"/>
    </row>
    <row r="92" ht="12.75" customHeight="1">
      <c r="A92" s="7"/>
      <c r="B92" s="7"/>
      <c r="C92" s="7"/>
      <c r="D92" s="7"/>
      <c r="E92" s="7"/>
      <c r="F92" s="7"/>
      <c r="G92" s="7"/>
      <c r="H92" s="7"/>
      <c r="I92" s="7"/>
    </row>
    <row r="93" ht="12.75" customHeight="1">
      <c r="A93" s="7"/>
      <c r="B93" s="7"/>
      <c r="C93" s="7"/>
      <c r="D93" s="7"/>
      <c r="E93" s="7"/>
      <c r="F93" s="7"/>
      <c r="G93" s="7"/>
      <c r="H93" s="7"/>
      <c r="I93" s="7"/>
    </row>
    <row r="94" ht="12.75" customHeight="1">
      <c r="A94" s="7"/>
      <c r="B94" s="7"/>
      <c r="C94" s="7"/>
      <c r="D94" s="7"/>
      <c r="E94" s="7"/>
      <c r="F94" s="7"/>
      <c r="G94" s="7"/>
      <c r="H94" s="7"/>
      <c r="I94" s="7"/>
    </row>
    <row r="95" ht="12.75" customHeight="1">
      <c r="A95" s="7"/>
      <c r="B95" s="7"/>
      <c r="C95" s="7"/>
      <c r="D95" s="7"/>
      <c r="E95" s="7"/>
      <c r="F95" s="7"/>
      <c r="G95" s="7"/>
      <c r="H95" s="7"/>
      <c r="I95" s="7"/>
    </row>
    <row r="96" ht="12.75" customHeight="1">
      <c r="A96" s="7"/>
      <c r="B96" s="7"/>
      <c r="C96" s="7"/>
      <c r="D96" s="7"/>
      <c r="E96" s="7"/>
      <c r="F96" s="7"/>
      <c r="G96" s="7"/>
      <c r="H96" s="7"/>
      <c r="I96" s="7"/>
    </row>
    <row r="97" ht="12.75" customHeight="1">
      <c r="A97" s="7"/>
      <c r="B97" s="7"/>
      <c r="C97" s="7"/>
      <c r="D97" s="7"/>
      <c r="E97" s="7"/>
      <c r="F97" s="7"/>
      <c r="G97" s="7"/>
      <c r="H97" s="7"/>
      <c r="I97" s="7"/>
    </row>
    <row r="98" ht="12.75" customHeight="1">
      <c r="A98" s="7"/>
      <c r="B98" s="7"/>
      <c r="C98" s="7"/>
      <c r="D98" s="7"/>
      <c r="E98" s="7"/>
      <c r="F98" s="7"/>
      <c r="G98" s="7"/>
      <c r="H98" s="7"/>
      <c r="I98" s="7"/>
    </row>
    <row r="99" ht="12.75" customHeight="1">
      <c r="A99" s="7"/>
      <c r="B99" s="7"/>
      <c r="C99" s="7"/>
      <c r="D99" s="7"/>
      <c r="E99" s="7"/>
      <c r="F99" s="7"/>
      <c r="G99" s="7"/>
      <c r="H99" s="7"/>
      <c r="I99" s="7"/>
    </row>
    <row r="100" ht="12.75" customHeight="1">
      <c r="A100" s="7"/>
      <c r="B100" s="7"/>
      <c r="C100" s="7"/>
      <c r="D100" s="7"/>
      <c r="E100" s="7"/>
      <c r="F100" s="7"/>
      <c r="G100" s="7"/>
      <c r="H100" s="7"/>
      <c r="I100" s="7"/>
    </row>
    <row r="101" ht="12.75" customHeight="1">
      <c r="A101" s="7"/>
      <c r="B101" s="7"/>
      <c r="C101" s="7"/>
      <c r="D101" s="7"/>
      <c r="E101" s="7"/>
      <c r="F101" s="7"/>
      <c r="G101" s="7"/>
      <c r="H101" s="7"/>
      <c r="I101" s="7"/>
    </row>
    <row r="102" ht="12.75" customHeight="1">
      <c r="A102" s="7"/>
      <c r="B102" s="7"/>
      <c r="C102" s="7"/>
      <c r="D102" s="7"/>
      <c r="E102" s="7"/>
      <c r="F102" s="7"/>
      <c r="G102" s="7"/>
      <c r="H102" s="7"/>
      <c r="I102" s="7"/>
    </row>
    <row r="103" ht="12.75" customHeight="1">
      <c r="A103" s="7"/>
      <c r="B103" s="7"/>
      <c r="C103" s="7"/>
      <c r="D103" s="7"/>
      <c r="E103" s="7"/>
      <c r="F103" s="7"/>
      <c r="G103" s="7"/>
      <c r="H103" s="7"/>
      <c r="I103" s="7"/>
    </row>
    <row r="104" ht="12.75" customHeight="1">
      <c r="A104" s="7"/>
      <c r="B104" s="7"/>
      <c r="C104" s="7"/>
      <c r="D104" s="7"/>
      <c r="E104" s="7"/>
      <c r="F104" s="7"/>
      <c r="G104" s="7"/>
      <c r="H104" s="7"/>
      <c r="I104" s="7"/>
    </row>
    <row r="105" ht="12.75" customHeight="1">
      <c r="A105" s="7"/>
      <c r="B105" s="7"/>
      <c r="C105" s="7"/>
      <c r="D105" s="7"/>
      <c r="E105" s="7"/>
      <c r="F105" s="7"/>
      <c r="G105" s="7"/>
      <c r="H105" s="7"/>
      <c r="I105" s="7"/>
    </row>
    <row r="106" ht="12.75" customHeight="1">
      <c r="A106" s="7"/>
      <c r="B106" s="7"/>
      <c r="C106" s="7"/>
      <c r="D106" s="7"/>
      <c r="E106" s="7"/>
      <c r="F106" s="7"/>
      <c r="G106" s="7"/>
      <c r="H106" s="7"/>
      <c r="I106" s="7"/>
    </row>
    <row r="107" ht="12.75" customHeight="1">
      <c r="A107" s="7"/>
      <c r="B107" s="7"/>
      <c r="C107" s="7"/>
      <c r="D107" s="7"/>
      <c r="E107" s="7"/>
      <c r="F107" s="7"/>
      <c r="G107" s="7"/>
      <c r="H107" s="7"/>
      <c r="I107" s="7"/>
    </row>
    <row r="108" ht="12.75" customHeight="1">
      <c r="A108" s="7"/>
      <c r="B108" s="7"/>
      <c r="C108" s="7"/>
      <c r="D108" s="7"/>
      <c r="E108" s="7"/>
      <c r="F108" s="7"/>
      <c r="G108" s="7"/>
      <c r="H108" s="7"/>
      <c r="I108" s="7"/>
    </row>
    <row r="109" ht="12.75" customHeight="1">
      <c r="A109" s="7"/>
      <c r="B109" s="7"/>
      <c r="C109" s="7"/>
      <c r="D109" s="7"/>
      <c r="E109" s="7"/>
      <c r="F109" s="7"/>
      <c r="G109" s="7"/>
      <c r="H109" s="7"/>
      <c r="I109" s="7"/>
    </row>
    <row r="110" ht="12.75" customHeight="1">
      <c r="A110" s="7"/>
      <c r="B110" s="7"/>
      <c r="C110" s="7"/>
      <c r="D110" s="7"/>
      <c r="E110" s="7"/>
      <c r="F110" s="7"/>
      <c r="G110" s="7"/>
      <c r="H110" s="7"/>
      <c r="I110" s="7"/>
    </row>
    <row r="111" ht="12.75" customHeight="1">
      <c r="A111" s="7"/>
      <c r="B111" s="7"/>
      <c r="C111" s="7"/>
      <c r="D111" s="7"/>
      <c r="E111" s="7"/>
      <c r="F111" s="7"/>
      <c r="G111" s="7"/>
      <c r="H111" s="7"/>
      <c r="I111" s="7"/>
    </row>
    <row r="112" ht="12.75" customHeight="1">
      <c r="A112" s="7"/>
      <c r="B112" s="7"/>
      <c r="C112" s="7"/>
      <c r="D112" s="7"/>
      <c r="E112" s="7"/>
      <c r="F112" s="7"/>
      <c r="G112" s="7"/>
      <c r="H112" s="7"/>
      <c r="I112" s="7"/>
    </row>
    <row r="113" ht="12.75" customHeight="1">
      <c r="A113" s="7"/>
      <c r="B113" s="7"/>
      <c r="C113" s="7"/>
      <c r="D113" s="7"/>
      <c r="E113" s="7"/>
      <c r="F113" s="7"/>
      <c r="G113" s="7"/>
      <c r="H113" s="7"/>
      <c r="I113" s="7"/>
    </row>
    <row r="114" ht="12.75" customHeight="1">
      <c r="A114" s="7"/>
      <c r="B114" s="7"/>
      <c r="C114" s="7"/>
      <c r="D114" s="7"/>
      <c r="E114" s="7"/>
      <c r="F114" s="7"/>
      <c r="G114" s="7"/>
      <c r="H114" s="7"/>
      <c r="I114" s="7"/>
    </row>
    <row r="115" ht="12.75" customHeight="1">
      <c r="A115" s="7"/>
      <c r="B115" s="7"/>
      <c r="C115" s="7"/>
      <c r="D115" s="7"/>
      <c r="E115" s="7"/>
      <c r="F115" s="7"/>
      <c r="G115" s="7"/>
      <c r="H115" s="7"/>
      <c r="I115" s="7"/>
    </row>
    <row r="116" ht="12.75" customHeight="1">
      <c r="A116" s="7"/>
      <c r="B116" s="7"/>
      <c r="C116" s="7"/>
      <c r="D116" s="7"/>
      <c r="E116" s="7"/>
      <c r="F116" s="7"/>
      <c r="G116" s="7"/>
      <c r="H116" s="7"/>
      <c r="I116" s="7"/>
    </row>
    <row r="117" ht="12.75" customHeight="1">
      <c r="A117" s="7"/>
      <c r="B117" s="7"/>
      <c r="C117" s="7"/>
      <c r="D117" s="7"/>
      <c r="E117" s="7"/>
      <c r="F117" s="7"/>
      <c r="G117" s="7"/>
      <c r="H117" s="7"/>
      <c r="I117" s="7"/>
    </row>
    <row r="118" ht="12.75" customHeight="1">
      <c r="A118" s="7"/>
      <c r="B118" s="7"/>
      <c r="C118" s="7"/>
      <c r="D118" s="7"/>
      <c r="E118" s="7"/>
      <c r="F118" s="7"/>
      <c r="G118" s="7"/>
      <c r="H118" s="7"/>
      <c r="I118" s="7"/>
    </row>
    <row r="119" ht="12.75" customHeight="1">
      <c r="A119" s="7"/>
      <c r="B119" s="7"/>
      <c r="C119" s="7"/>
      <c r="D119" s="7"/>
      <c r="E119" s="7"/>
      <c r="F119" s="7"/>
      <c r="G119" s="7"/>
      <c r="H119" s="7"/>
      <c r="I119" s="7"/>
    </row>
    <row r="120" ht="12.75" customHeight="1">
      <c r="A120" s="7"/>
      <c r="B120" s="7"/>
      <c r="C120" s="7"/>
      <c r="D120" s="7"/>
      <c r="E120" s="7"/>
      <c r="F120" s="7"/>
      <c r="G120" s="7"/>
      <c r="H120" s="7"/>
      <c r="I120" s="7"/>
    </row>
    <row r="121" ht="12.75" customHeight="1">
      <c r="A121" s="7"/>
      <c r="B121" s="7"/>
      <c r="C121" s="7"/>
      <c r="D121" s="7"/>
      <c r="E121" s="7"/>
      <c r="F121" s="7"/>
      <c r="G121" s="7"/>
      <c r="H121" s="7"/>
      <c r="I121" s="7"/>
    </row>
    <row r="122" ht="12.75" customHeight="1">
      <c r="A122" s="7"/>
      <c r="B122" s="7"/>
      <c r="C122" s="7"/>
      <c r="D122" s="7"/>
      <c r="E122" s="7"/>
      <c r="F122" s="7"/>
      <c r="G122" s="7"/>
      <c r="H122" s="7"/>
      <c r="I122" s="7"/>
    </row>
    <row r="123" ht="12.75" customHeight="1">
      <c r="A123" s="7"/>
      <c r="B123" s="7"/>
      <c r="C123" s="7"/>
      <c r="D123" s="7"/>
      <c r="E123" s="7"/>
      <c r="F123" s="7"/>
      <c r="G123" s="7"/>
      <c r="H123" s="7"/>
      <c r="I123" s="7"/>
    </row>
    <row r="124" ht="12.75" customHeight="1">
      <c r="A124" s="7"/>
      <c r="B124" s="7"/>
      <c r="C124" s="7"/>
      <c r="D124" s="7"/>
      <c r="E124" s="7"/>
      <c r="F124" s="7"/>
      <c r="G124" s="7"/>
      <c r="H124" s="7"/>
      <c r="I124" s="7"/>
    </row>
    <row r="125" ht="12.75" customHeight="1">
      <c r="A125" s="7"/>
      <c r="B125" s="7"/>
      <c r="C125" s="7"/>
      <c r="D125" s="7"/>
      <c r="E125" s="7"/>
      <c r="F125" s="7"/>
      <c r="G125" s="7"/>
      <c r="H125" s="7"/>
      <c r="I125" s="7"/>
    </row>
    <row r="126" ht="12.75" customHeight="1">
      <c r="A126" s="7"/>
      <c r="B126" s="7"/>
      <c r="C126" s="7"/>
      <c r="D126" s="7"/>
      <c r="E126" s="7"/>
      <c r="F126" s="7"/>
      <c r="G126" s="7"/>
      <c r="H126" s="7"/>
      <c r="I126" s="7"/>
    </row>
    <row r="127" ht="12.75" customHeight="1">
      <c r="A127" s="7"/>
      <c r="B127" s="7"/>
      <c r="C127" s="7"/>
      <c r="D127" s="7"/>
      <c r="E127" s="7"/>
      <c r="F127" s="7"/>
      <c r="G127" s="7"/>
      <c r="H127" s="7"/>
      <c r="I127" s="7"/>
    </row>
    <row r="128" ht="12.75" customHeight="1">
      <c r="A128" s="7"/>
      <c r="B128" s="7"/>
      <c r="C128" s="7"/>
      <c r="D128" s="7"/>
      <c r="E128" s="7"/>
      <c r="F128" s="7"/>
      <c r="G128" s="7"/>
      <c r="H128" s="7"/>
      <c r="I128" s="7"/>
    </row>
    <row r="129" ht="12.75" customHeight="1">
      <c r="A129" s="7"/>
      <c r="B129" s="7"/>
      <c r="C129" s="7"/>
      <c r="D129" s="7"/>
      <c r="E129" s="7"/>
      <c r="F129" s="7"/>
      <c r="G129" s="7"/>
      <c r="H129" s="7"/>
      <c r="I129" s="7"/>
    </row>
    <row r="130" ht="12.75" customHeight="1">
      <c r="A130" s="7"/>
      <c r="B130" s="7"/>
      <c r="C130" s="7"/>
      <c r="D130" s="7"/>
      <c r="E130" s="7"/>
      <c r="F130" s="7"/>
      <c r="G130" s="7"/>
      <c r="H130" s="7"/>
      <c r="I130" s="7"/>
    </row>
    <row r="131" ht="12.75" customHeight="1">
      <c r="A131" s="7"/>
      <c r="B131" s="7"/>
      <c r="C131" s="7"/>
      <c r="D131" s="7"/>
      <c r="E131" s="7"/>
      <c r="F131" s="7"/>
      <c r="G131" s="7"/>
      <c r="H131" s="7"/>
      <c r="I131" s="7"/>
    </row>
    <row r="132" ht="12.75" customHeight="1">
      <c r="A132" s="7"/>
      <c r="B132" s="7"/>
      <c r="C132" s="7"/>
      <c r="D132" s="7"/>
      <c r="E132" s="7"/>
      <c r="F132" s="7"/>
      <c r="G132" s="7"/>
      <c r="H132" s="7"/>
      <c r="I132" s="7"/>
    </row>
    <row r="133" ht="12.75" customHeight="1">
      <c r="A133" s="7"/>
      <c r="B133" s="7"/>
      <c r="C133" s="7"/>
      <c r="D133" s="7"/>
      <c r="E133" s="7"/>
      <c r="F133" s="7"/>
      <c r="G133" s="7"/>
      <c r="H133" s="7"/>
      <c r="I133" s="7"/>
    </row>
    <row r="134" ht="12.75" customHeight="1">
      <c r="A134" s="7"/>
      <c r="B134" s="7"/>
      <c r="C134" s="7"/>
      <c r="D134" s="7"/>
      <c r="E134" s="7"/>
      <c r="F134" s="7"/>
      <c r="G134" s="7"/>
      <c r="H134" s="7"/>
      <c r="I134" s="7"/>
    </row>
    <row r="135" ht="12.75" customHeight="1">
      <c r="A135" s="7"/>
      <c r="B135" s="7"/>
      <c r="C135" s="7"/>
      <c r="D135" s="7"/>
      <c r="E135" s="7"/>
      <c r="F135" s="7"/>
      <c r="G135" s="7"/>
      <c r="H135" s="7"/>
      <c r="I135" s="7"/>
    </row>
    <row r="136" ht="12.75" customHeight="1">
      <c r="A136" s="7"/>
      <c r="B136" s="7"/>
      <c r="C136" s="7"/>
      <c r="D136" s="7"/>
      <c r="E136" s="7"/>
      <c r="F136" s="7"/>
      <c r="G136" s="7"/>
      <c r="H136" s="7"/>
      <c r="I136" s="7"/>
    </row>
    <row r="137" ht="12.75" customHeight="1">
      <c r="A137" s="7"/>
      <c r="B137" s="7"/>
      <c r="C137" s="7"/>
      <c r="D137" s="7"/>
      <c r="E137" s="7"/>
      <c r="F137" s="7"/>
      <c r="G137" s="7"/>
      <c r="H137" s="7"/>
      <c r="I137" s="7"/>
    </row>
    <row r="138" ht="12.75" customHeight="1">
      <c r="A138" s="7"/>
      <c r="B138" s="7"/>
      <c r="C138" s="7"/>
      <c r="D138" s="7"/>
      <c r="E138" s="7"/>
      <c r="F138" s="7"/>
      <c r="G138" s="7"/>
      <c r="H138" s="7"/>
      <c r="I138" s="7"/>
    </row>
    <row r="139" ht="12.75" customHeight="1">
      <c r="A139" s="7"/>
      <c r="B139" s="7"/>
      <c r="C139" s="7"/>
      <c r="D139" s="7"/>
      <c r="E139" s="7"/>
      <c r="F139" s="7"/>
      <c r="G139" s="7"/>
      <c r="H139" s="7"/>
      <c r="I139" s="7"/>
    </row>
    <row r="140" ht="12.75" customHeight="1">
      <c r="A140" s="7"/>
      <c r="B140" s="7"/>
      <c r="C140" s="7"/>
      <c r="D140" s="7"/>
      <c r="E140" s="7"/>
      <c r="F140" s="7"/>
      <c r="G140" s="7"/>
      <c r="H140" s="7"/>
      <c r="I140" s="7"/>
    </row>
    <row r="141" ht="12.75" customHeight="1">
      <c r="A141" s="7"/>
      <c r="B141" s="7"/>
      <c r="C141" s="7"/>
      <c r="D141" s="7"/>
      <c r="E141" s="7"/>
      <c r="F141" s="7"/>
      <c r="G141" s="7"/>
      <c r="H141" s="7"/>
      <c r="I141" s="7"/>
    </row>
    <row r="142" ht="12.75" customHeight="1">
      <c r="A142" s="7"/>
      <c r="B142" s="7"/>
      <c r="C142" s="7"/>
      <c r="D142" s="7"/>
      <c r="E142" s="7"/>
      <c r="F142" s="7"/>
      <c r="G142" s="7"/>
      <c r="H142" s="7"/>
      <c r="I142" s="7"/>
    </row>
    <row r="143" ht="12.75" customHeight="1">
      <c r="A143" s="7"/>
      <c r="B143" s="7"/>
      <c r="C143" s="7"/>
      <c r="D143" s="7"/>
      <c r="E143" s="7"/>
      <c r="F143" s="7"/>
      <c r="G143" s="7"/>
      <c r="H143" s="7"/>
      <c r="I143" s="7"/>
    </row>
    <row r="144" ht="12.75" customHeight="1">
      <c r="A144" s="7"/>
      <c r="B144" s="7"/>
      <c r="C144" s="7"/>
      <c r="D144" s="7"/>
      <c r="E144" s="7"/>
      <c r="F144" s="7"/>
      <c r="G144" s="7"/>
      <c r="H144" s="7"/>
      <c r="I144" s="7"/>
    </row>
    <row r="145" ht="12.75" customHeight="1">
      <c r="A145" s="7"/>
      <c r="B145" s="7"/>
      <c r="C145" s="7"/>
      <c r="D145" s="7"/>
      <c r="E145" s="7"/>
      <c r="F145" s="7"/>
      <c r="G145" s="7"/>
      <c r="H145" s="7"/>
      <c r="I145" s="7"/>
    </row>
    <row r="146" ht="12.75" customHeight="1">
      <c r="A146" s="7"/>
      <c r="B146" s="7"/>
      <c r="C146" s="7"/>
      <c r="D146" s="7"/>
      <c r="E146" s="7"/>
      <c r="F146" s="7"/>
      <c r="G146" s="7"/>
      <c r="H146" s="7"/>
      <c r="I146" s="7"/>
    </row>
    <row r="147" ht="12.75" customHeight="1">
      <c r="A147" s="7"/>
      <c r="B147" s="7"/>
      <c r="C147" s="7"/>
      <c r="D147" s="7"/>
      <c r="E147" s="7"/>
      <c r="F147" s="7"/>
      <c r="G147" s="7"/>
      <c r="H147" s="7"/>
      <c r="I147" s="7"/>
    </row>
    <row r="148" ht="12.75" customHeight="1">
      <c r="A148" s="7"/>
      <c r="B148" s="7"/>
      <c r="C148" s="7"/>
      <c r="D148" s="7"/>
      <c r="E148" s="7"/>
      <c r="F148" s="7"/>
      <c r="G148" s="7"/>
      <c r="H148" s="7"/>
      <c r="I148" s="7"/>
    </row>
    <row r="149" ht="12.75" customHeight="1">
      <c r="A149" s="7"/>
      <c r="B149" s="7"/>
      <c r="C149" s="7"/>
      <c r="D149" s="7"/>
      <c r="E149" s="7"/>
      <c r="F149" s="7"/>
      <c r="G149" s="7"/>
      <c r="H149" s="7"/>
      <c r="I149" s="7"/>
    </row>
    <row r="150" ht="12.75" customHeight="1">
      <c r="A150" s="7"/>
      <c r="B150" s="7"/>
      <c r="C150" s="7"/>
      <c r="D150" s="7"/>
      <c r="E150" s="7"/>
      <c r="F150" s="7"/>
      <c r="G150" s="7"/>
      <c r="H150" s="7"/>
      <c r="I150" s="7"/>
    </row>
    <row r="151" ht="12.75" customHeight="1">
      <c r="A151" s="7"/>
      <c r="B151" s="7"/>
      <c r="C151" s="7"/>
      <c r="D151" s="7"/>
      <c r="E151" s="7"/>
      <c r="F151" s="7"/>
      <c r="G151" s="7"/>
      <c r="H151" s="7"/>
      <c r="I151" s="7"/>
    </row>
    <row r="152" ht="12.75" customHeight="1">
      <c r="A152" s="7"/>
      <c r="B152" s="7"/>
      <c r="C152" s="7"/>
      <c r="D152" s="7"/>
      <c r="E152" s="7"/>
      <c r="F152" s="7"/>
      <c r="G152" s="7"/>
      <c r="H152" s="7"/>
      <c r="I152" s="7"/>
    </row>
    <row r="153" ht="12.75" customHeight="1">
      <c r="A153" s="7"/>
      <c r="B153" s="7"/>
      <c r="C153" s="7"/>
      <c r="D153" s="7"/>
      <c r="E153" s="7"/>
      <c r="F153" s="7"/>
      <c r="G153" s="7"/>
      <c r="H153" s="7"/>
      <c r="I153" s="7"/>
    </row>
    <row r="154" ht="12.75" customHeight="1">
      <c r="A154" s="7"/>
      <c r="B154" s="7"/>
      <c r="C154" s="7"/>
      <c r="D154" s="7"/>
      <c r="E154" s="7"/>
      <c r="F154" s="7"/>
      <c r="G154" s="7"/>
      <c r="H154" s="7"/>
      <c r="I154" s="7"/>
    </row>
    <row r="155" ht="12.75" customHeight="1">
      <c r="A155" s="7"/>
      <c r="B155" s="7"/>
      <c r="C155" s="7"/>
      <c r="D155" s="7"/>
      <c r="E155" s="7"/>
      <c r="F155" s="7"/>
      <c r="G155" s="7"/>
      <c r="H155" s="7"/>
      <c r="I155" s="7"/>
    </row>
    <row r="156" ht="12.75" customHeight="1">
      <c r="A156" s="7"/>
      <c r="B156" s="7"/>
      <c r="C156" s="7"/>
      <c r="D156" s="7"/>
      <c r="E156" s="7"/>
      <c r="F156" s="7"/>
      <c r="G156" s="7"/>
      <c r="H156" s="7"/>
      <c r="I156" s="7"/>
    </row>
    <row r="157" ht="12.75" customHeight="1">
      <c r="A157" s="7"/>
      <c r="B157" s="7"/>
      <c r="C157" s="7"/>
      <c r="D157" s="7"/>
      <c r="E157" s="7"/>
      <c r="F157" s="7"/>
      <c r="G157" s="7"/>
      <c r="H157" s="7"/>
      <c r="I157" s="7"/>
    </row>
    <row r="158" ht="12.75" customHeight="1">
      <c r="A158" s="7"/>
      <c r="B158" s="7"/>
      <c r="C158" s="7"/>
      <c r="D158" s="7"/>
      <c r="E158" s="7"/>
      <c r="F158" s="7"/>
      <c r="G158" s="7"/>
      <c r="H158" s="7"/>
      <c r="I158" s="7"/>
    </row>
    <row r="159" ht="12.75" customHeight="1">
      <c r="A159" s="7"/>
      <c r="B159" s="7"/>
      <c r="C159" s="7"/>
      <c r="D159" s="7"/>
      <c r="E159" s="7"/>
      <c r="F159" s="7"/>
      <c r="G159" s="7"/>
      <c r="H159" s="7"/>
      <c r="I159" s="7"/>
    </row>
    <row r="160" ht="12.75" customHeight="1">
      <c r="A160" s="7"/>
      <c r="B160" s="7"/>
      <c r="C160" s="7"/>
      <c r="D160" s="7"/>
      <c r="E160" s="7"/>
      <c r="F160" s="7"/>
      <c r="G160" s="7"/>
      <c r="H160" s="7"/>
      <c r="I160" s="7"/>
    </row>
    <row r="161" ht="12.75" customHeight="1">
      <c r="A161" s="7"/>
      <c r="B161" s="7"/>
      <c r="C161" s="7"/>
      <c r="D161" s="7"/>
      <c r="E161" s="7"/>
      <c r="F161" s="7"/>
      <c r="G161" s="7"/>
      <c r="H161" s="7"/>
      <c r="I161" s="7"/>
    </row>
    <row r="162" ht="12.75" customHeight="1">
      <c r="A162" s="7"/>
      <c r="B162" s="7"/>
      <c r="C162" s="7"/>
      <c r="D162" s="7"/>
      <c r="E162" s="7"/>
      <c r="F162" s="7"/>
      <c r="G162" s="7"/>
      <c r="H162" s="7"/>
      <c r="I162" s="7"/>
    </row>
    <row r="163" ht="12.75" customHeight="1">
      <c r="A163" s="7"/>
      <c r="B163" s="7"/>
      <c r="C163" s="7"/>
      <c r="D163" s="7"/>
      <c r="E163" s="7"/>
      <c r="F163" s="7"/>
      <c r="G163" s="7"/>
      <c r="H163" s="7"/>
      <c r="I163" s="7"/>
    </row>
    <row r="164" ht="12.75" customHeight="1">
      <c r="A164" s="7"/>
      <c r="B164" s="7"/>
      <c r="C164" s="7"/>
      <c r="D164" s="7"/>
      <c r="E164" s="7"/>
      <c r="F164" s="7"/>
      <c r="G164" s="7"/>
      <c r="H164" s="7"/>
      <c r="I164" s="7"/>
    </row>
    <row r="165" ht="12.75" customHeight="1">
      <c r="A165" s="7"/>
      <c r="B165" s="7"/>
      <c r="C165" s="7"/>
      <c r="D165" s="7"/>
      <c r="E165" s="7"/>
      <c r="F165" s="7"/>
      <c r="G165" s="7"/>
      <c r="H165" s="7"/>
      <c r="I165" s="7"/>
    </row>
    <row r="166" ht="12.75" customHeight="1">
      <c r="A166" s="7"/>
      <c r="B166" s="7"/>
      <c r="C166" s="7"/>
      <c r="D166" s="7"/>
      <c r="E166" s="7"/>
      <c r="F166" s="7"/>
      <c r="G166" s="7"/>
      <c r="H166" s="7"/>
      <c r="I166" s="7"/>
    </row>
    <row r="167" ht="12.75" customHeight="1">
      <c r="A167" s="7"/>
      <c r="B167" s="7"/>
      <c r="C167" s="7"/>
      <c r="D167" s="7"/>
      <c r="E167" s="7"/>
      <c r="F167" s="7"/>
      <c r="G167" s="7"/>
      <c r="H167" s="7"/>
      <c r="I167" s="7"/>
    </row>
    <row r="168" ht="12.75" customHeight="1">
      <c r="A168" s="7"/>
      <c r="B168" s="7"/>
      <c r="C168" s="7"/>
      <c r="D168" s="7"/>
      <c r="E168" s="7"/>
      <c r="F168" s="7"/>
      <c r="G168" s="7"/>
      <c r="H168" s="7"/>
      <c r="I168" s="7"/>
    </row>
    <row r="169" ht="12.75" customHeight="1">
      <c r="A169" s="7"/>
      <c r="B169" s="7"/>
      <c r="C169" s="7"/>
      <c r="D169" s="7"/>
      <c r="E169" s="7"/>
      <c r="F169" s="7"/>
      <c r="G169" s="7"/>
      <c r="H169" s="7"/>
      <c r="I169" s="7"/>
    </row>
    <row r="170" ht="12.75" customHeight="1">
      <c r="A170" s="7"/>
      <c r="B170" s="7"/>
      <c r="C170" s="7"/>
      <c r="D170" s="7"/>
      <c r="E170" s="7"/>
      <c r="F170" s="7"/>
      <c r="G170" s="7"/>
      <c r="H170" s="7"/>
      <c r="I170" s="7"/>
    </row>
    <row r="171" ht="12.75" customHeight="1">
      <c r="A171" s="7"/>
      <c r="B171" s="7"/>
      <c r="C171" s="7"/>
      <c r="D171" s="7"/>
      <c r="E171" s="7"/>
      <c r="F171" s="7"/>
      <c r="G171" s="7"/>
      <c r="H171" s="7"/>
      <c r="I171" s="7"/>
    </row>
    <row r="172" ht="12.75" customHeight="1">
      <c r="A172" s="7"/>
      <c r="B172" s="7"/>
      <c r="C172" s="7"/>
      <c r="D172" s="7"/>
      <c r="E172" s="7"/>
      <c r="F172" s="7"/>
      <c r="G172" s="7"/>
      <c r="H172" s="7"/>
      <c r="I172" s="7"/>
    </row>
    <row r="173" ht="12.75" customHeight="1">
      <c r="A173" s="7"/>
      <c r="B173" s="7"/>
      <c r="C173" s="7"/>
      <c r="D173" s="7"/>
      <c r="E173" s="7"/>
      <c r="F173" s="7"/>
      <c r="G173" s="7"/>
      <c r="H173" s="7"/>
      <c r="I173" s="7"/>
    </row>
    <row r="174" ht="12.75" customHeight="1">
      <c r="A174" s="7"/>
      <c r="B174" s="7"/>
      <c r="C174" s="7"/>
      <c r="D174" s="7"/>
      <c r="E174" s="7"/>
      <c r="F174" s="7"/>
      <c r="G174" s="7"/>
      <c r="H174" s="7"/>
      <c r="I174" s="7"/>
    </row>
    <row r="175" ht="12.75" customHeight="1">
      <c r="A175" s="7"/>
      <c r="B175" s="7"/>
      <c r="C175" s="7"/>
      <c r="D175" s="7"/>
      <c r="E175" s="7"/>
      <c r="F175" s="7"/>
      <c r="G175" s="7"/>
      <c r="H175" s="7"/>
      <c r="I175" s="7"/>
    </row>
    <row r="176" ht="12.75" customHeight="1">
      <c r="A176" s="7"/>
      <c r="B176" s="7"/>
      <c r="C176" s="7"/>
      <c r="D176" s="7"/>
      <c r="E176" s="7"/>
      <c r="F176" s="7"/>
      <c r="G176" s="7"/>
      <c r="H176" s="7"/>
      <c r="I176" s="7"/>
    </row>
    <row r="177" ht="12.75" customHeight="1">
      <c r="A177" s="7"/>
      <c r="B177" s="7"/>
      <c r="C177" s="7"/>
      <c r="D177" s="7"/>
      <c r="E177" s="7"/>
      <c r="F177" s="7"/>
      <c r="G177" s="7"/>
      <c r="H177" s="7"/>
      <c r="I177" s="7"/>
    </row>
    <row r="178" ht="12.75" customHeight="1">
      <c r="A178" s="7"/>
      <c r="B178" s="7"/>
      <c r="C178" s="7"/>
      <c r="D178" s="7"/>
      <c r="E178" s="7"/>
      <c r="F178" s="7"/>
      <c r="G178" s="7"/>
      <c r="H178" s="7"/>
      <c r="I178" s="7"/>
    </row>
    <row r="179" ht="12.75" customHeight="1">
      <c r="A179" s="7"/>
      <c r="B179" s="7"/>
      <c r="C179" s="7"/>
      <c r="D179" s="7"/>
      <c r="E179" s="7"/>
      <c r="F179" s="7"/>
      <c r="G179" s="7"/>
      <c r="H179" s="7"/>
      <c r="I179" s="7"/>
    </row>
    <row r="180" ht="12.75" customHeight="1">
      <c r="A180" s="7"/>
      <c r="B180" s="7"/>
      <c r="C180" s="7"/>
      <c r="D180" s="7"/>
      <c r="E180" s="7"/>
      <c r="F180" s="7"/>
      <c r="G180" s="7"/>
      <c r="H180" s="7"/>
      <c r="I180" s="7"/>
    </row>
    <row r="181" ht="12.75" customHeight="1">
      <c r="A181" s="7"/>
      <c r="B181" s="7"/>
      <c r="C181" s="7"/>
      <c r="D181" s="7"/>
      <c r="E181" s="7"/>
      <c r="F181" s="7"/>
      <c r="G181" s="7"/>
      <c r="H181" s="7"/>
      <c r="I181" s="7"/>
    </row>
    <row r="182" ht="12.75" customHeight="1">
      <c r="A182" s="7"/>
      <c r="B182" s="7"/>
      <c r="C182" s="7"/>
      <c r="D182" s="7"/>
      <c r="E182" s="7"/>
      <c r="F182" s="7"/>
      <c r="G182" s="7"/>
      <c r="H182" s="7"/>
      <c r="I182" s="7"/>
    </row>
    <row r="183" ht="12.75" customHeight="1">
      <c r="A183" s="7"/>
      <c r="B183" s="7"/>
      <c r="C183" s="7"/>
      <c r="D183" s="7"/>
      <c r="E183" s="7"/>
      <c r="F183" s="7"/>
      <c r="G183" s="7"/>
      <c r="H183" s="7"/>
      <c r="I183" s="7"/>
    </row>
    <row r="184" ht="12.75" customHeight="1">
      <c r="A184" s="7"/>
      <c r="B184" s="7"/>
      <c r="C184" s="7"/>
      <c r="D184" s="7"/>
      <c r="E184" s="7"/>
      <c r="F184" s="7"/>
      <c r="G184" s="7"/>
      <c r="H184" s="7"/>
      <c r="I184" s="7"/>
    </row>
    <row r="185" ht="12.75" customHeight="1">
      <c r="A185" s="7"/>
      <c r="B185" s="7"/>
      <c r="C185" s="7"/>
      <c r="D185" s="7"/>
      <c r="E185" s="7"/>
      <c r="F185" s="7"/>
      <c r="G185" s="7"/>
      <c r="H185" s="7"/>
      <c r="I185" s="7"/>
    </row>
    <row r="186" ht="12.75" customHeight="1">
      <c r="A186" s="7"/>
      <c r="B186" s="7"/>
      <c r="C186" s="7"/>
      <c r="D186" s="7"/>
      <c r="E186" s="7"/>
      <c r="F186" s="7"/>
      <c r="G186" s="7"/>
      <c r="H186" s="7"/>
      <c r="I186" s="7"/>
    </row>
    <row r="187" ht="12.75" customHeight="1">
      <c r="A187" s="7"/>
      <c r="B187" s="7"/>
      <c r="C187" s="7"/>
      <c r="D187" s="7"/>
      <c r="E187" s="7"/>
      <c r="F187" s="7"/>
      <c r="G187" s="7"/>
      <c r="H187" s="7"/>
      <c r="I187" s="7"/>
    </row>
    <row r="188" ht="12.75" customHeight="1">
      <c r="A188" s="7"/>
      <c r="B188" s="7"/>
      <c r="C188" s="7"/>
      <c r="D188" s="7"/>
      <c r="E188" s="7"/>
      <c r="F188" s="7"/>
      <c r="G188" s="7"/>
      <c r="H188" s="7"/>
      <c r="I188" s="7"/>
    </row>
    <row r="189" ht="12.75" customHeight="1">
      <c r="A189" s="7"/>
      <c r="B189" s="7"/>
      <c r="C189" s="7"/>
      <c r="D189" s="7"/>
      <c r="E189" s="7"/>
      <c r="F189" s="7"/>
      <c r="G189" s="7"/>
      <c r="H189" s="7"/>
      <c r="I189" s="7"/>
    </row>
    <row r="190" ht="12.75" customHeight="1">
      <c r="A190" s="7"/>
      <c r="B190" s="7"/>
      <c r="C190" s="7"/>
      <c r="D190" s="7"/>
      <c r="E190" s="7"/>
      <c r="F190" s="7"/>
      <c r="G190" s="7"/>
      <c r="H190" s="7"/>
      <c r="I190" s="7"/>
    </row>
    <row r="191" ht="12.75" customHeight="1">
      <c r="A191" s="7"/>
      <c r="B191" s="7"/>
      <c r="C191" s="7"/>
      <c r="D191" s="7"/>
      <c r="E191" s="7"/>
      <c r="F191" s="7"/>
      <c r="G191" s="7"/>
      <c r="H191" s="7"/>
      <c r="I191" s="7"/>
    </row>
    <row r="192" ht="12.75" customHeight="1">
      <c r="A192" s="7"/>
      <c r="B192" s="7"/>
      <c r="C192" s="7"/>
      <c r="D192" s="7"/>
      <c r="E192" s="7"/>
      <c r="F192" s="7"/>
      <c r="G192" s="7"/>
      <c r="H192" s="7"/>
      <c r="I192" s="7"/>
    </row>
    <row r="193" ht="12.75" customHeight="1">
      <c r="A193" s="7"/>
      <c r="B193" s="7"/>
      <c r="C193" s="7"/>
      <c r="D193" s="7"/>
      <c r="E193" s="7"/>
      <c r="F193" s="7"/>
      <c r="G193" s="7"/>
      <c r="H193" s="7"/>
      <c r="I193" s="7"/>
    </row>
    <row r="194" ht="12.75" customHeight="1">
      <c r="A194" s="7"/>
      <c r="B194" s="7"/>
      <c r="C194" s="7"/>
      <c r="D194" s="7"/>
      <c r="E194" s="7"/>
      <c r="F194" s="7"/>
      <c r="G194" s="7"/>
      <c r="H194" s="7"/>
      <c r="I194" s="7"/>
    </row>
    <row r="195" ht="12.75" customHeight="1">
      <c r="A195" s="7"/>
      <c r="B195" s="7"/>
      <c r="C195" s="7"/>
      <c r="D195" s="7"/>
      <c r="E195" s="7"/>
      <c r="F195" s="7"/>
      <c r="G195" s="7"/>
      <c r="H195" s="7"/>
      <c r="I195" s="7"/>
    </row>
    <row r="196" ht="12.75" customHeight="1">
      <c r="A196" s="7"/>
      <c r="B196" s="7"/>
      <c r="C196" s="7"/>
      <c r="D196" s="7"/>
      <c r="E196" s="7"/>
      <c r="F196" s="7"/>
      <c r="G196" s="7"/>
      <c r="H196" s="7"/>
      <c r="I196" s="7"/>
    </row>
    <row r="197" ht="12.75" customHeight="1">
      <c r="A197" s="7"/>
      <c r="B197" s="7"/>
      <c r="C197" s="7"/>
      <c r="D197" s="7"/>
      <c r="E197" s="7"/>
      <c r="F197" s="7"/>
      <c r="G197" s="7"/>
      <c r="H197" s="7"/>
      <c r="I197" s="7"/>
    </row>
    <row r="198" ht="12.75" customHeight="1">
      <c r="A198" s="7"/>
      <c r="B198" s="7"/>
      <c r="C198" s="7"/>
      <c r="D198" s="7"/>
      <c r="E198" s="7"/>
      <c r="F198" s="7"/>
      <c r="G198" s="7"/>
      <c r="H198" s="7"/>
      <c r="I198" s="7"/>
    </row>
    <row r="199" ht="12.75" customHeight="1">
      <c r="A199" s="7"/>
      <c r="B199" s="7"/>
      <c r="C199" s="7"/>
      <c r="D199" s="7"/>
      <c r="E199" s="7"/>
      <c r="F199" s="7"/>
      <c r="G199" s="7"/>
      <c r="H199" s="7"/>
      <c r="I199" s="7"/>
    </row>
    <row r="200" ht="12.75" customHeight="1">
      <c r="A200" s="7"/>
      <c r="B200" s="7"/>
      <c r="C200" s="7"/>
      <c r="D200" s="7"/>
      <c r="E200" s="7"/>
      <c r="F200" s="7"/>
      <c r="G200" s="7"/>
      <c r="H200" s="7"/>
      <c r="I200" s="7"/>
    </row>
    <row r="201" ht="12.75" customHeight="1">
      <c r="A201" s="7"/>
      <c r="B201" s="7"/>
      <c r="C201" s="7"/>
      <c r="D201" s="7"/>
      <c r="E201" s="7"/>
      <c r="F201" s="7"/>
      <c r="G201" s="7"/>
      <c r="H201" s="7"/>
      <c r="I201" s="7"/>
    </row>
    <row r="202" ht="12.75" customHeight="1">
      <c r="A202" s="7"/>
      <c r="B202" s="7"/>
      <c r="C202" s="7"/>
      <c r="D202" s="7"/>
      <c r="E202" s="7"/>
      <c r="F202" s="7"/>
      <c r="G202" s="7"/>
      <c r="H202" s="7"/>
      <c r="I202" s="7"/>
    </row>
    <row r="203" ht="12.75" customHeight="1">
      <c r="A203" s="7"/>
      <c r="B203" s="7"/>
      <c r="C203" s="7"/>
      <c r="D203" s="7"/>
      <c r="E203" s="7"/>
      <c r="F203" s="7"/>
      <c r="G203" s="7"/>
      <c r="H203" s="7"/>
      <c r="I203" s="7"/>
    </row>
    <row r="204" ht="12.75" customHeight="1">
      <c r="A204" s="7"/>
      <c r="B204" s="7"/>
      <c r="C204" s="7"/>
      <c r="D204" s="7"/>
      <c r="E204" s="7"/>
      <c r="F204" s="7"/>
      <c r="G204" s="7"/>
      <c r="H204" s="7"/>
      <c r="I204" s="7"/>
    </row>
    <row r="205" ht="12.75" customHeight="1">
      <c r="A205" s="7"/>
      <c r="B205" s="7"/>
      <c r="C205" s="7"/>
      <c r="D205" s="7"/>
      <c r="E205" s="7"/>
      <c r="F205" s="7"/>
      <c r="G205" s="7"/>
      <c r="H205" s="7"/>
      <c r="I205" s="7"/>
    </row>
    <row r="206" ht="12.75" customHeight="1">
      <c r="A206" s="7"/>
      <c r="B206" s="7"/>
      <c r="C206" s="7"/>
      <c r="D206" s="7"/>
      <c r="E206" s="7"/>
      <c r="F206" s="7"/>
      <c r="G206" s="7"/>
      <c r="H206" s="7"/>
      <c r="I206" s="7"/>
    </row>
    <row r="207" ht="12.75" customHeight="1">
      <c r="A207" s="7"/>
      <c r="B207" s="7"/>
      <c r="C207" s="7"/>
      <c r="D207" s="7"/>
      <c r="E207" s="7"/>
      <c r="F207" s="7"/>
      <c r="G207" s="7"/>
      <c r="H207" s="7"/>
      <c r="I207" s="7"/>
    </row>
    <row r="208" ht="12.75" customHeight="1">
      <c r="A208" s="7"/>
      <c r="B208" s="7"/>
      <c r="C208" s="7"/>
      <c r="D208" s="7"/>
      <c r="E208" s="7"/>
      <c r="F208" s="7"/>
      <c r="G208" s="7"/>
      <c r="H208" s="7"/>
      <c r="I208" s="7"/>
    </row>
    <row r="209" ht="12.75" customHeight="1">
      <c r="A209" s="7"/>
      <c r="B209" s="7"/>
      <c r="C209" s="7"/>
      <c r="D209" s="7"/>
      <c r="E209" s="7"/>
      <c r="F209" s="7"/>
      <c r="G209" s="7"/>
      <c r="H209" s="7"/>
      <c r="I209" s="7"/>
    </row>
    <row r="210" ht="12.75" customHeight="1">
      <c r="A210" s="7"/>
      <c r="B210" s="7"/>
      <c r="C210" s="7"/>
      <c r="D210" s="7"/>
      <c r="E210" s="7"/>
      <c r="F210" s="7"/>
      <c r="G210" s="7"/>
      <c r="H210" s="7"/>
      <c r="I210" s="7"/>
    </row>
    <row r="211" ht="12.75" customHeight="1">
      <c r="A211" s="7"/>
      <c r="B211" s="7"/>
      <c r="C211" s="7"/>
      <c r="D211" s="7"/>
      <c r="E211" s="7"/>
      <c r="F211" s="7"/>
      <c r="G211" s="7"/>
      <c r="H211" s="7"/>
      <c r="I211" s="7"/>
    </row>
    <row r="212" ht="12.75" customHeight="1">
      <c r="A212" s="7"/>
      <c r="B212" s="7"/>
      <c r="C212" s="7"/>
      <c r="D212" s="7"/>
      <c r="E212" s="7"/>
      <c r="F212" s="7"/>
      <c r="G212" s="7"/>
      <c r="H212" s="7"/>
      <c r="I212" s="7"/>
    </row>
    <row r="213" ht="12.75" customHeight="1">
      <c r="A213" s="7"/>
      <c r="B213" s="7"/>
      <c r="C213" s="7"/>
      <c r="D213" s="7"/>
      <c r="E213" s="7"/>
      <c r="F213" s="7"/>
      <c r="G213" s="7"/>
      <c r="H213" s="7"/>
      <c r="I213" s="7"/>
    </row>
    <row r="214" ht="12.75" customHeight="1">
      <c r="A214" s="7"/>
      <c r="B214" s="7"/>
      <c r="C214" s="7"/>
      <c r="D214" s="7"/>
      <c r="E214" s="7"/>
      <c r="F214" s="7"/>
      <c r="G214" s="7"/>
      <c r="H214" s="7"/>
      <c r="I214" s="7"/>
    </row>
    <row r="215" ht="12.75" customHeight="1">
      <c r="A215" s="7"/>
      <c r="B215" s="7"/>
      <c r="C215" s="7"/>
      <c r="D215" s="7"/>
      <c r="E215" s="7"/>
      <c r="F215" s="7"/>
      <c r="G215" s="7"/>
      <c r="H215" s="7"/>
      <c r="I215" s="7"/>
    </row>
    <row r="216" ht="12.75" customHeight="1">
      <c r="A216" s="7"/>
      <c r="B216" s="7"/>
      <c r="C216" s="7"/>
      <c r="D216" s="7"/>
      <c r="E216" s="7"/>
      <c r="F216" s="7"/>
      <c r="G216" s="7"/>
      <c r="H216" s="7"/>
      <c r="I216" s="7"/>
    </row>
    <row r="217" ht="12.75" customHeight="1">
      <c r="A217" s="7"/>
      <c r="B217" s="7"/>
      <c r="C217" s="7"/>
      <c r="D217" s="7"/>
      <c r="E217" s="7"/>
      <c r="F217" s="7"/>
      <c r="G217" s="7"/>
      <c r="H217" s="7"/>
      <c r="I217" s="7"/>
    </row>
    <row r="218" ht="12.75" customHeight="1">
      <c r="A218" s="7"/>
      <c r="B218" s="7"/>
      <c r="C218" s="7"/>
      <c r="D218" s="7"/>
      <c r="E218" s="7"/>
      <c r="F218" s="7"/>
      <c r="G218" s="7"/>
      <c r="H218" s="7"/>
      <c r="I218" s="7"/>
    </row>
    <row r="219" ht="12.75" customHeight="1">
      <c r="A219" s="7"/>
      <c r="B219" s="7"/>
      <c r="C219" s="7"/>
      <c r="D219" s="7"/>
      <c r="E219" s="7"/>
      <c r="F219" s="7"/>
      <c r="G219" s="7"/>
      <c r="H219" s="7"/>
      <c r="I219" s="7"/>
    </row>
    <row r="220" ht="12.75" customHeight="1">
      <c r="A220" s="7"/>
      <c r="B220" s="7"/>
      <c r="C220" s="7"/>
      <c r="D220" s="7"/>
      <c r="E220" s="7"/>
      <c r="F220" s="7"/>
      <c r="G220" s="7"/>
      <c r="H220" s="7"/>
      <c r="I220" s="7"/>
    </row>
    <row r="221" ht="12.75" customHeight="1">
      <c r="A221" s="7"/>
      <c r="B221" s="7"/>
      <c r="C221" s="7"/>
      <c r="D221" s="7"/>
      <c r="E221" s="7"/>
      <c r="F221" s="7"/>
      <c r="G221" s="7"/>
      <c r="H221" s="7"/>
      <c r="I221" s="7"/>
    </row>
    <row r="222" ht="12.75" customHeight="1">
      <c r="A222" s="7"/>
      <c r="B222" s="7"/>
      <c r="C222" s="7"/>
      <c r="D222" s="7"/>
      <c r="E222" s="7"/>
      <c r="F222" s="7"/>
      <c r="G222" s="7"/>
      <c r="H222" s="7"/>
      <c r="I222" s="7"/>
    </row>
    <row r="223" ht="12.75" customHeight="1">
      <c r="A223" s="7"/>
      <c r="B223" s="7"/>
      <c r="C223" s="7"/>
      <c r="D223" s="7"/>
      <c r="E223" s="7"/>
      <c r="F223" s="7"/>
      <c r="G223" s="7"/>
      <c r="H223" s="7"/>
      <c r="I223" s="7"/>
    </row>
    <row r="224" ht="12.75" customHeight="1">
      <c r="A224" s="7"/>
      <c r="B224" s="7"/>
      <c r="C224" s="7"/>
      <c r="D224" s="7"/>
      <c r="E224" s="7"/>
      <c r="F224" s="7"/>
      <c r="G224" s="7"/>
      <c r="H224" s="7"/>
      <c r="I224" s="7"/>
    </row>
    <row r="225" ht="12.75" customHeight="1">
      <c r="A225" s="7"/>
      <c r="B225" s="7"/>
      <c r="C225" s="7"/>
      <c r="D225" s="7"/>
      <c r="E225" s="7"/>
      <c r="F225" s="7"/>
      <c r="G225" s="7"/>
      <c r="H225" s="7"/>
      <c r="I225" s="7"/>
    </row>
    <row r="226" ht="12.75" customHeight="1">
      <c r="A226" s="7"/>
      <c r="B226" s="7"/>
      <c r="C226" s="7"/>
      <c r="D226" s="7"/>
      <c r="E226" s="7"/>
      <c r="F226" s="7"/>
      <c r="G226" s="7"/>
      <c r="H226" s="7"/>
      <c r="I226" s="7"/>
    </row>
    <row r="227" ht="12.75" customHeight="1">
      <c r="A227" s="7"/>
      <c r="B227" s="7"/>
      <c r="C227" s="7"/>
      <c r="D227" s="7"/>
      <c r="E227" s="7"/>
      <c r="F227" s="7"/>
      <c r="G227" s="7"/>
      <c r="H227" s="7"/>
      <c r="I227" s="7"/>
    </row>
    <row r="228" ht="12.75" customHeight="1">
      <c r="A228" s="7"/>
      <c r="B228" s="7"/>
      <c r="C228" s="7"/>
      <c r="D228" s="7"/>
      <c r="E228" s="7"/>
      <c r="F228" s="7"/>
      <c r="G228" s="7"/>
      <c r="H228" s="7"/>
      <c r="I228" s="7"/>
    </row>
    <row r="229" ht="12.75" customHeight="1">
      <c r="A229" s="7"/>
      <c r="B229" s="7"/>
      <c r="C229" s="7"/>
      <c r="D229" s="7"/>
      <c r="E229" s="7"/>
      <c r="F229" s="7"/>
      <c r="G229" s="7"/>
      <c r="H229" s="7"/>
      <c r="I229" s="7"/>
    </row>
    <row r="230" ht="12.75" customHeight="1">
      <c r="A230" s="7"/>
      <c r="B230" s="7"/>
      <c r="C230" s="7"/>
      <c r="D230" s="7"/>
      <c r="E230" s="7"/>
      <c r="F230" s="7"/>
      <c r="G230" s="7"/>
      <c r="H230" s="7"/>
      <c r="I230" s="7"/>
    </row>
    <row r="231" ht="12.75" customHeight="1">
      <c r="A231" s="7"/>
      <c r="B231" s="7"/>
      <c r="C231" s="7"/>
      <c r="D231" s="7"/>
      <c r="E231" s="7"/>
      <c r="F231" s="7"/>
      <c r="G231" s="7"/>
      <c r="H231" s="7"/>
      <c r="I231" s="7"/>
    </row>
    <row r="232" ht="12.75" customHeight="1">
      <c r="A232" s="7"/>
      <c r="B232" s="7"/>
      <c r="C232" s="7"/>
      <c r="D232" s="7"/>
      <c r="E232" s="7"/>
      <c r="F232" s="7"/>
      <c r="G232" s="7"/>
      <c r="H232" s="7"/>
      <c r="I232" s="7"/>
    </row>
    <row r="233" ht="12.75" customHeight="1">
      <c r="A233" s="7"/>
      <c r="B233" s="7"/>
      <c r="C233" s="7"/>
      <c r="D233" s="7"/>
      <c r="E233" s="7"/>
      <c r="F233" s="7"/>
      <c r="G233" s="7"/>
      <c r="H233" s="7"/>
      <c r="I233" s="7"/>
    </row>
    <row r="234" ht="12.75" customHeight="1">
      <c r="A234" s="7"/>
      <c r="B234" s="7"/>
      <c r="C234" s="7"/>
      <c r="D234" s="7"/>
      <c r="E234" s="7"/>
      <c r="F234" s="7"/>
      <c r="G234" s="7"/>
      <c r="H234" s="7"/>
      <c r="I234" s="7"/>
    </row>
    <row r="235" ht="12.75" customHeight="1">
      <c r="A235" s="7"/>
      <c r="B235" s="7"/>
      <c r="C235" s="7"/>
      <c r="D235" s="7"/>
      <c r="E235" s="7"/>
      <c r="F235" s="7"/>
      <c r="G235" s="7"/>
      <c r="H235" s="7"/>
      <c r="I235" s="7"/>
    </row>
    <row r="236" ht="12.75" customHeight="1">
      <c r="A236" s="7"/>
      <c r="B236" s="7"/>
      <c r="C236" s="7"/>
      <c r="D236" s="7"/>
      <c r="E236" s="7"/>
      <c r="F236" s="7"/>
      <c r="G236" s="7"/>
      <c r="H236" s="7"/>
      <c r="I236" s="7"/>
    </row>
    <row r="237" ht="12.75" customHeight="1">
      <c r="A237" s="7"/>
      <c r="B237" s="7"/>
      <c r="C237" s="7"/>
      <c r="D237" s="7"/>
      <c r="E237" s="7"/>
      <c r="F237" s="7"/>
      <c r="G237" s="7"/>
      <c r="H237" s="7"/>
      <c r="I237" s="7"/>
    </row>
    <row r="238" ht="12.75" customHeight="1">
      <c r="A238" s="7"/>
      <c r="B238" s="7"/>
      <c r="C238" s="7"/>
      <c r="D238" s="7"/>
      <c r="E238" s="7"/>
      <c r="F238" s="7"/>
      <c r="G238" s="7"/>
      <c r="H238" s="7"/>
      <c r="I238" s="7"/>
    </row>
    <row r="239" ht="12.75" customHeight="1">
      <c r="A239" s="7"/>
      <c r="B239" s="7"/>
      <c r="C239" s="7"/>
      <c r="D239" s="7"/>
      <c r="E239" s="7"/>
      <c r="F239" s="7"/>
      <c r="G239" s="7"/>
      <c r="H239" s="7"/>
      <c r="I239" s="7"/>
    </row>
    <row r="240" ht="12.75" customHeight="1">
      <c r="A240" s="7"/>
      <c r="B240" s="7"/>
      <c r="C240" s="7"/>
      <c r="D240" s="7"/>
      <c r="E240" s="7"/>
      <c r="F240" s="7"/>
      <c r="G240" s="7"/>
      <c r="H240" s="7"/>
      <c r="I240" s="7"/>
    </row>
    <row r="241" ht="12.75" customHeight="1">
      <c r="A241" s="7"/>
      <c r="B241" s="7"/>
      <c r="C241" s="7"/>
      <c r="D241" s="7"/>
      <c r="E241" s="7"/>
      <c r="F241" s="7"/>
      <c r="G241" s="7"/>
      <c r="H241" s="7"/>
      <c r="I241" s="7"/>
    </row>
    <row r="242" ht="12.75" customHeight="1">
      <c r="A242" s="7"/>
      <c r="B242" s="7"/>
      <c r="C242" s="7"/>
      <c r="D242" s="7"/>
      <c r="E242" s="7"/>
      <c r="F242" s="7"/>
      <c r="G242" s="7"/>
      <c r="H242" s="7"/>
      <c r="I242" s="7"/>
    </row>
    <row r="243" ht="12.75" customHeight="1">
      <c r="A243" s="7"/>
      <c r="B243" s="7"/>
      <c r="C243" s="7"/>
      <c r="D243" s="7"/>
      <c r="E243" s="7"/>
      <c r="F243" s="7"/>
      <c r="G243" s="7"/>
      <c r="H243" s="7"/>
      <c r="I243" s="7"/>
    </row>
    <row r="244" ht="12.75" customHeight="1">
      <c r="A244" s="7"/>
      <c r="B244" s="7"/>
      <c r="C244" s="7"/>
      <c r="D244" s="7"/>
      <c r="E244" s="7"/>
      <c r="F244" s="7"/>
      <c r="G244" s="7"/>
      <c r="H244" s="7"/>
      <c r="I244" s="7"/>
    </row>
    <row r="245" ht="12.75" customHeight="1">
      <c r="A245" s="7"/>
      <c r="B245" s="7"/>
      <c r="C245" s="7"/>
      <c r="D245" s="7"/>
      <c r="E245" s="7"/>
      <c r="F245" s="7"/>
      <c r="G245" s="7"/>
      <c r="H245" s="7"/>
      <c r="I245" s="7"/>
    </row>
    <row r="246" ht="12.75" customHeight="1">
      <c r="A246" s="7"/>
      <c r="B246" s="7"/>
      <c r="C246" s="7"/>
      <c r="D246" s="7"/>
      <c r="E246" s="7"/>
      <c r="F246" s="7"/>
      <c r="G246" s="7"/>
      <c r="H246" s="7"/>
      <c r="I246" s="7"/>
    </row>
    <row r="247" ht="12.75" customHeight="1">
      <c r="A247" s="7"/>
      <c r="B247" s="7"/>
      <c r="C247" s="7"/>
      <c r="D247" s="7"/>
      <c r="E247" s="7"/>
      <c r="F247" s="7"/>
      <c r="G247" s="7"/>
      <c r="H247" s="7"/>
      <c r="I247" s="7"/>
    </row>
    <row r="248" ht="12.75" customHeight="1">
      <c r="A248" s="7"/>
      <c r="B248" s="7"/>
      <c r="C248" s="7"/>
      <c r="D248" s="7"/>
      <c r="E248" s="7"/>
      <c r="F248" s="7"/>
      <c r="G248" s="7"/>
      <c r="H248" s="7"/>
      <c r="I248" s="7"/>
    </row>
    <row r="249" ht="12.75" customHeight="1">
      <c r="A249" s="7"/>
      <c r="B249" s="7"/>
      <c r="C249" s="7"/>
      <c r="D249" s="7"/>
      <c r="E249" s="7"/>
      <c r="F249" s="7"/>
      <c r="G249" s="7"/>
      <c r="H249" s="7"/>
      <c r="I249" s="7"/>
    </row>
    <row r="250" ht="12.75" customHeight="1">
      <c r="A250" s="7"/>
      <c r="B250" s="7"/>
      <c r="C250" s="7"/>
      <c r="D250" s="7"/>
      <c r="E250" s="7"/>
      <c r="F250" s="7"/>
      <c r="G250" s="7"/>
      <c r="H250" s="7"/>
      <c r="I250" s="7"/>
    </row>
    <row r="251" ht="12.75" customHeight="1">
      <c r="A251" s="7"/>
      <c r="B251" s="7"/>
      <c r="C251" s="7"/>
      <c r="D251" s="7"/>
      <c r="E251" s="7"/>
      <c r="F251" s="7"/>
      <c r="G251" s="7"/>
      <c r="H251" s="7"/>
      <c r="I251" s="7"/>
    </row>
    <row r="252" ht="12.75" customHeight="1">
      <c r="A252" s="7"/>
      <c r="B252" s="7"/>
      <c r="C252" s="7"/>
      <c r="D252" s="7"/>
      <c r="E252" s="7"/>
      <c r="F252" s="7"/>
      <c r="G252" s="7"/>
      <c r="H252" s="7"/>
      <c r="I252" s="7"/>
    </row>
    <row r="253" ht="12.75" customHeight="1">
      <c r="A253" s="7"/>
      <c r="B253" s="7"/>
      <c r="C253" s="7"/>
      <c r="D253" s="7"/>
      <c r="E253" s="7"/>
      <c r="F253" s="7"/>
      <c r="G253" s="7"/>
      <c r="H253" s="7"/>
      <c r="I253" s="7"/>
    </row>
    <row r="254" ht="12.75" customHeight="1">
      <c r="A254" s="7"/>
      <c r="B254" s="7"/>
      <c r="C254" s="7"/>
      <c r="D254" s="7"/>
      <c r="E254" s="7"/>
      <c r="F254" s="7"/>
      <c r="G254" s="7"/>
      <c r="H254" s="7"/>
      <c r="I254" s="7"/>
    </row>
    <row r="255" ht="12.75" customHeight="1">
      <c r="A255" s="7"/>
      <c r="B255" s="7"/>
      <c r="C255" s="7"/>
      <c r="D255" s="7"/>
      <c r="E255" s="7"/>
      <c r="F255" s="7"/>
      <c r="G255" s="7"/>
      <c r="H255" s="7"/>
      <c r="I255" s="7"/>
    </row>
    <row r="256" ht="12.75" customHeight="1">
      <c r="A256" s="7"/>
      <c r="B256" s="7"/>
      <c r="C256" s="7"/>
      <c r="D256" s="7"/>
      <c r="E256" s="7"/>
      <c r="F256" s="7"/>
      <c r="G256" s="7"/>
      <c r="H256" s="7"/>
      <c r="I256" s="7"/>
    </row>
    <row r="257" ht="12.75" customHeight="1">
      <c r="A257" s="7"/>
      <c r="B257" s="7"/>
      <c r="C257" s="7"/>
      <c r="D257" s="7"/>
      <c r="E257" s="7"/>
      <c r="F257" s="7"/>
      <c r="G257" s="7"/>
      <c r="H257" s="7"/>
      <c r="I257" s="7"/>
    </row>
    <row r="258" ht="12.75" customHeight="1">
      <c r="A258" s="7"/>
      <c r="B258" s="7"/>
      <c r="C258" s="7"/>
      <c r="D258" s="7"/>
      <c r="E258" s="7"/>
      <c r="F258" s="7"/>
      <c r="G258" s="7"/>
      <c r="H258" s="7"/>
      <c r="I258" s="7"/>
    </row>
    <row r="259" ht="12.75" customHeight="1">
      <c r="A259" s="7"/>
      <c r="B259" s="7"/>
      <c r="C259" s="7"/>
      <c r="D259" s="7"/>
      <c r="E259" s="7"/>
      <c r="F259" s="7"/>
      <c r="G259" s="7"/>
      <c r="H259" s="7"/>
      <c r="I259" s="7"/>
    </row>
    <row r="260" ht="12.75" customHeight="1">
      <c r="A260" s="7"/>
      <c r="B260" s="7"/>
      <c r="C260" s="7"/>
      <c r="D260" s="7"/>
      <c r="E260" s="7"/>
      <c r="F260" s="7"/>
      <c r="G260" s="7"/>
      <c r="H260" s="7"/>
      <c r="I260" s="7"/>
    </row>
    <row r="261" ht="12.75" customHeight="1">
      <c r="A261" s="7"/>
      <c r="B261" s="7"/>
      <c r="C261" s="7"/>
      <c r="D261" s="7"/>
      <c r="E261" s="7"/>
      <c r="F261" s="7"/>
      <c r="G261" s="7"/>
      <c r="H261" s="7"/>
      <c r="I261" s="7"/>
    </row>
    <row r="262" ht="12.75" customHeight="1">
      <c r="A262" s="7"/>
      <c r="B262" s="7"/>
      <c r="C262" s="7"/>
      <c r="D262" s="7"/>
      <c r="E262" s="7"/>
      <c r="F262" s="7"/>
      <c r="G262" s="7"/>
      <c r="H262" s="7"/>
      <c r="I262" s="7"/>
    </row>
    <row r="263" ht="12.75" customHeight="1">
      <c r="A263" s="7"/>
      <c r="B263" s="7"/>
      <c r="C263" s="7"/>
      <c r="D263" s="7"/>
      <c r="E263" s="7"/>
      <c r="F263" s="7"/>
      <c r="G263" s="7"/>
      <c r="H263" s="7"/>
      <c r="I263" s="7"/>
    </row>
    <row r="264" ht="12.75" customHeight="1">
      <c r="A264" s="7"/>
      <c r="B264" s="7"/>
      <c r="C264" s="7"/>
      <c r="D264" s="7"/>
      <c r="E264" s="7"/>
      <c r="F264" s="7"/>
      <c r="G264" s="7"/>
      <c r="H264" s="7"/>
      <c r="I264" s="7"/>
    </row>
    <row r="265" ht="12.75" customHeight="1">
      <c r="A265" s="7"/>
      <c r="B265" s="7"/>
      <c r="C265" s="7"/>
      <c r="D265" s="7"/>
      <c r="E265" s="7"/>
      <c r="F265" s="7"/>
      <c r="G265" s="7"/>
      <c r="H265" s="7"/>
      <c r="I265" s="7"/>
    </row>
    <row r="266" ht="12.75" customHeight="1">
      <c r="A266" s="7"/>
      <c r="B266" s="7"/>
      <c r="C266" s="7"/>
      <c r="D266" s="7"/>
      <c r="E266" s="7"/>
      <c r="F266" s="7"/>
      <c r="G266" s="7"/>
      <c r="H266" s="7"/>
      <c r="I266" s="7"/>
    </row>
    <row r="267" ht="12.75" customHeight="1">
      <c r="A267" s="7"/>
      <c r="B267" s="7"/>
      <c r="C267" s="7"/>
      <c r="D267" s="7"/>
      <c r="E267" s="7"/>
      <c r="F267" s="7"/>
      <c r="G267" s="7"/>
      <c r="H267" s="7"/>
      <c r="I267" s="7"/>
    </row>
    <row r="268" ht="12.75" customHeight="1">
      <c r="A268" s="7"/>
      <c r="B268" s="7"/>
      <c r="C268" s="7"/>
      <c r="D268" s="7"/>
      <c r="E268" s="7"/>
      <c r="F268" s="7"/>
      <c r="G268" s="7"/>
      <c r="H268" s="7"/>
      <c r="I268" s="7"/>
    </row>
    <row r="269" ht="12.75" customHeight="1">
      <c r="A269" s="7"/>
      <c r="B269" s="7"/>
      <c r="C269" s="7"/>
      <c r="D269" s="7"/>
      <c r="E269" s="7"/>
      <c r="F269" s="7"/>
      <c r="G269" s="7"/>
      <c r="H269" s="7"/>
      <c r="I269" s="7"/>
    </row>
    <row r="270" ht="12.75" customHeight="1">
      <c r="A270" s="7"/>
      <c r="B270" s="7"/>
      <c r="C270" s="7"/>
      <c r="D270" s="7"/>
      <c r="E270" s="7"/>
      <c r="F270" s="7"/>
      <c r="G270" s="7"/>
      <c r="H270" s="7"/>
      <c r="I270" s="7"/>
    </row>
    <row r="271" ht="12.75" customHeight="1">
      <c r="A271" s="7"/>
      <c r="B271" s="7"/>
      <c r="C271" s="7"/>
      <c r="D271" s="7"/>
      <c r="E271" s="7"/>
      <c r="F271" s="7"/>
      <c r="G271" s="7"/>
      <c r="H271" s="7"/>
      <c r="I271" s="7"/>
    </row>
    <row r="272" ht="12.75" customHeight="1">
      <c r="A272" s="7"/>
      <c r="B272" s="7"/>
      <c r="C272" s="7"/>
      <c r="D272" s="7"/>
      <c r="E272" s="7"/>
      <c r="F272" s="7"/>
      <c r="G272" s="7"/>
      <c r="H272" s="7"/>
      <c r="I272" s="7"/>
    </row>
    <row r="273" ht="12.75" customHeight="1">
      <c r="A273" s="7"/>
      <c r="B273" s="7"/>
      <c r="C273" s="7"/>
      <c r="D273" s="7"/>
      <c r="E273" s="7"/>
      <c r="F273" s="7"/>
      <c r="G273" s="7"/>
      <c r="H273" s="7"/>
      <c r="I273" s="7"/>
    </row>
    <row r="274" ht="12.75" customHeight="1">
      <c r="A274" s="7"/>
      <c r="B274" s="7"/>
      <c r="C274" s="7"/>
      <c r="D274" s="7"/>
      <c r="E274" s="7"/>
      <c r="F274" s="7"/>
      <c r="G274" s="7"/>
      <c r="H274" s="7"/>
      <c r="I274" s="7"/>
    </row>
    <row r="275" ht="12.75" customHeight="1">
      <c r="A275" s="7"/>
      <c r="B275" s="7"/>
      <c r="C275" s="7"/>
      <c r="D275" s="7"/>
      <c r="E275" s="7"/>
      <c r="F275" s="7"/>
      <c r="G275" s="7"/>
      <c r="H275" s="7"/>
      <c r="I275" s="7"/>
    </row>
    <row r="276" ht="12.75" customHeight="1">
      <c r="A276" s="7"/>
      <c r="B276" s="7"/>
      <c r="C276" s="7"/>
      <c r="D276" s="7"/>
      <c r="E276" s="7"/>
      <c r="F276" s="7"/>
      <c r="G276" s="7"/>
      <c r="H276" s="7"/>
      <c r="I276" s="7"/>
    </row>
    <row r="277" ht="12.75" customHeight="1">
      <c r="A277" s="7"/>
      <c r="B277" s="7"/>
      <c r="C277" s="7"/>
      <c r="D277" s="7"/>
      <c r="E277" s="7"/>
      <c r="F277" s="7"/>
      <c r="G277" s="7"/>
      <c r="H277" s="7"/>
      <c r="I277" s="7"/>
    </row>
    <row r="278" ht="12.75" customHeight="1">
      <c r="A278" s="7"/>
      <c r="B278" s="7"/>
      <c r="C278" s="7"/>
      <c r="D278" s="7"/>
      <c r="E278" s="7"/>
      <c r="F278" s="7"/>
      <c r="G278" s="7"/>
      <c r="H278" s="7"/>
      <c r="I278" s="7"/>
    </row>
    <row r="279" ht="12.75" customHeight="1">
      <c r="A279" s="7"/>
      <c r="B279" s="7"/>
      <c r="C279" s="7"/>
      <c r="D279" s="7"/>
      <c r="E279" s="7"/>
      <c r="F279" s="7"/>
      <c r="G279" s="7"/>
      <c r="H279" s="7"/>
      <c r="I279" s="7"/>
    </row>
    <row r="280" ht="12.75" customHeight="1">
      <c r="A280" s="7"/>
      <c r="B280" s="7"/>
      <c r="C280" s="7"/>
      <c r="D280" s="7"/>
      <c r="E280" s="7"/>
      <c r="F280" s="7"/>
      <c r="G280" s="7"/>
      <c r="H280" s="7"/>
      <c r="I280" s="7"/>
    </row>
    <row r="281" ht="12.75" customHeight="1">
      <c r="A281" s="7"/>
      <c r="B281" s="7"/>
      <c r="C281" s="7"/>
      <c r="D281" s="7"/>
      <c r="E281" s="7"/>
      <c r="F281" s="7"/>
      <c r="G281" s="7"/>
      <c r="H281" s="7"/>
      <c r="I281" s="7"/>
    </row>
    <row r="282" ht="12.75" customHeight="1">
      <c r="A282" s="7"/>
      <c r="B282" s="7"/>
      <c r="C282" s="7"/>
      <c r="D282" s="7"/>
      <c r="E282" s="7"/>
      <c r="F282" s="7"/>
      <c r="G282" s="7"/>
      <c r="H282" s="7"/>
      <c r="I282" s="7"/>
    </row>
    <row r="283" ht="12.75" customHeight="1">
      <c r="A283" s="7"/>
      <c r="B283" s="7"/>
      <c r="C283" s="7"/>
      <c r="D283" s="7"/>
      <c r="E283" s="7"/>
      <c r="F283" s="7"/>
      <c r="G283" s="7"/>
      <c r="H283" s="7"/>
      <c r="I283" s="7"/>
    </row>
    <row r="284" ht="12.75" customHeight="1">
      <c r="A284" s="7"/>
      <c r="B284" s="7"/>
      <c r="C284" s="7"/>
      <c r="D284" s="7"/>
      <c r="E284" s="7"/>
      <c r="F284" s="7"/>
      <c r="G284" s="7"/>
      <c r="H284" s="7"/>
      <c r="I284" s="7"/>
    </row>
    <row r="285" ht="12.75" customHeight="1">
      <c r="A285" s="7"/>
      <c r="B285" s="7"/>
      <c r="C285" s="7"/>
      <c r="D285" s="7"/>
      <c r="E285" s="7"/>
      <c r="F285" s="7"/>
      <c r="G285" s="7"/>
      <c r="H285" s="7"/>
      <c r="I285" s="7"/>
    </row>
    <row r="286" ht="12.75" customHeight="1">
      <c r="A286" s="7"/>
      <c r="B286" s="7"/>
      <c r="C286" s="7"/>
      <c r="D286" s="7"/>
      <c r="E286" s="7"/>
      <c r="F286" s="7"/>
      <c r="G286" s="7"/>
      <c r="H286" s="7"/>
      <c r="I286" s="7"/>
    </row>
    <row r="287" ht="12.75" customHeight="1">
      <c r="A287" s="7"/>
      <c r="B287" s="7"/>
      <c r="C287" s="7"/>
      <c r="D287" s="7"/>
      <c r="E287" s="7"/>
      <c r="F287" s="7"/>
      <c r="G287" s="7"/>
      <c r="H287" s="7"/>
      <c r="I287" s="7"/>
    </row>
    <row r="288" ht="12.75" customHeight="1">
      <c r="A288" s="7"/>
      <c r="B288" s="7"/>
      <c r="C288" s="7"/>
      <c r="D288" s="7"/>
      <c r="E288" s="7"/>
      <c r="F288" s="7"/>
      <c r="G288" s="7"/>
      <c r="H288" s="7"/>
      <c r="I288" s="7"/>
    </row>
    <row r="289" ht="12.75" customHeight="1">
      <c r="A289" s="7"/>
      <c r="B289" s="7"/>
      <c r="C289" s="7"/>
      <c r="D289" s="7"/>
      <c r="E289" s="7"/>
      <c r="F289" s="7"/>
      <c r="G289" s="7"/>
      <c r="H289" s="7"/>
      <c r="I289" s="7"/>
    </row>
    <row r="290" ht="12.75" customHeight="1">
      <c r="A290" s="7"/>
      <c r="B290" s="7"/>
      <c r="C290" s="7"/>
      <c r="D290" s="7"/>
      <c r="E290" s="7"/>
      <c r="F290" s="7"/>
      <c r="G290" s="7"/>
      <c r="H290" s="7"/>
      <c r="I290" s="7"/>
    </row>
    <row r="291" ht="12.75" customHeight="1">
      <c r="A291" s="7"/>
      <c r="B291" s="7"/>
      <c r="C291" s="7"/>
      <c r="D291" s="7"/>
      <c r="E291" s="7"/>
      <c r="F291" s="7"/>
      <c r="G291" s="7"/>
      <c r="H291" s="7"/>
      <c r="I291" s="7"/>
    </row>
    <row r="292" ht="12.75" customHeight="1">
      <c r="A292" s="7"/>
      <c r="B292" s="7"/>
      <c r="C292" s="7"/>
      <c r="D292" s="7"/>
      <c r="E292" s="7"/>
      <c r="F292" s="7"/>
      <c r="G292" s="7"/>
      <c r="H292" s="7"/>
      <c r="I292" s="7"/>
    </row>
    <row r="293" ht="12.75" customHeight="1">
      <c r="A293" s="7"/>
      <c r="B293" s="7"/>
      <c r="C293" s="7"/>
      <c r="D293" s="7"/>
      <c r="E293" s="7"/>
      <c r="F293" s="7"/>
      <c r="G293" s="7"/>
      <c r="H293" s="7"/>
      <c r="I293" s="7"/>
    </row>
    <row r="294" ht="12.75" customHeight="1">
      <c r="A294" s="7"/>
      <c r="B294" s="7"/>
      <c r="C294" s="7"/>
      <c r="D294" s="7"/>
      <c r="E294" s="7"/>
      <c r="F294" s="7"/>
      <c r="G294" s="7"/>
      <c r="H294" s="7"/>
      <c r="I294" s="7"/>
    </row>
    <row r="295" ht="12.75" customHeight="1">
      <c r="A295" s="7"/>
      <c r="B295" s="7"/>
      <c r="C295" s="7"/>
      <c r="D295" s="7"/>
      <c r="E295" s="7"/>
      <c r="F295" s="7"/>
      <c r="G295" s="7"/>
      <c r="H295" s="7"/>
      <c r="I295" s="7"/>
    </row>
    <row r="296" ht="12.75" customHeight="1">
      <c r="A296" s="7"/>
      <c r="B296" s="7"/>
      <c r="C296" s="7"/>
      <c r="D296" s="7"/>
      <c r="E296" s="7"/>
      <c r="F296" s="7"/>
      <c r="G296" s="7"/>
      <c r="H296" s="7"/>
      <c r="I296" s="7"/>
    </row>
    <row r="297" ht="12.75" customHeight="1">
      <c r="A297" s="7"/>
      <c r="B297" s="7"/>
      <c r="C297" s="7"/>
      <c r="D297" s="7"/>
      <c r="E297" s="7"/>
      <c r="F297" s="7"/>
      <c r="G297" s="7"/>
      <c r="H297" s="7"/>
      <c r="I297" s="7"/>
    </row>
    <row r="298" ht="12.75" customHeight="1">
      <c r="A298" s="7"/>
      <c r="B298" s="7"/>
      <c r="C298" s="7"/>
      <c r="D298" s="7"/>
      <c r="E298" s="7"/>
      <c r="F298" s="7"/>
      <c r="G298" s="7"/>
      <c r="H298" s="7"/>
      <c r="I298" s="7"/>
    </row>
    <row r="299" ht="12.75" customHeight="1">
      <c r="A299" s="7"/>
      <c r="B299" s="7"/>
      <c r="C299" s="7"/>
      <c r="D299" s="7"/>
      <c r="E299" s="7"/>
      <c r="F299" s="7"/>
      <c r="G299" s="7"/>
      <c r="H299" s="7"/>
      <c r="I299" s="7"/>
    </row>
    <row r="300" ht="12.75" customHeight="1">
      <c r="A300" s="7"/>
      <c r="B300" s="7"/>
      <c r="C300" s="7"/>
      <c r="D300" s="7"/>
      <c r="E300" s="7"/>
      <c r="F300" s="7"/>
      <c r="G300" s="7"/>
      <c r="H300" s="7"/>
      <c r="I300" s="7"/>
    </row>
    <row r="301" ht="12.75" customHeight="1">
      <c r="A301" s="7"/>
      <c r="B301" s="7"/>
      <c r="C301" s="7"/>
      <c r="D301" s="7"/>
      <c r="E301" s="7"/>
      <c r="F301" s="7"/>
      <c r="G301" s="7"/>
      <c r="H301" s="7"/>
      <c r="I301" s="7"/>
    </row>
    <row r="302" ht="12.75" customHeight="1">
      <c r="A302" s="7"/>
      <c r="B302" s="7"/>
      <c r="C302" s="7"/>
      <c r="D302" s="7"/>
      <c r="E302" s="7"/>
      <c r="F302" s="7"/>
      <c r="G302" s="7"/>
      <c r="H302" s="7"/>
      <c r="I302" s="7"/>
    </row>
    <row r="303" ht="12.75" customHeight="1">
      <c r="A303" s="7"/>
      <c r="B303" s="7"/>
      <c r="C303" s="7"/>
      <c r="D303" s="7"/>
      <c r="E303" s="7"/>
      <c r="F303" s="7"/>
      <c r="G303" s="7"/>
      <c r="H303" s="7"/>
      <c r="I303" s="7"/>
    </row>
    <row r="304" ht="12.75" customHeight="1">
      <c r="A304" s="7"/>
      <c r="B304" s="7"/>
      <c r="C304" s="7"/>
      <c r="D304" s="7"/>
      <c r="E304" s="7"/>
      <c r="F304" s="7"/>
      <c r="G304" s="7"/>
      <c r="H304" s="7"/>
      <c r="I304" s="7"/>
    </row>
    <row r="305" ht="12.75" customHeight="1">
      <c r="A305" s="7"/>
      <c r="B305" s="7"/>
      <c r="C305" s="7"/>
      <c r="D305" s="7"/>
      <c r="E305" s="7"/>
      <c r="F305" s="7"/>
      <c r="G305" s="7"/>
      <c r="H305" s="7"/>
      <c r="I305" s="7"/>
    </row>
    <row r="306" ht="12.75" customHeight="1">
      <c r="A306" s="7"/>
      <c r="B306" s="7"/>
      <c r="C306" s="7"/>
      <c r="D306" s="7"/>
      <c r="E306" s="7"/>
      <c r="F306" s="7"/>
      <c r="G306" s="7"/>
      <c r="H306" s="7"/>
      <c r="I306" s="7"/>
    </row>
    <row r="307" ht="12.75" customHeight="1">
      <c r="A307" s="7"/>
      <c r="B307" s="7"/>
      <c r="C307" s="7"/>
      <c r="D307" s="7"/>
      <c r="E307" s="7"/>
      <c r="F307" s="7"/>
      <c r="G307" s="7"/>
      <c r="H307" s="7"/>
      <c r="I307" s="7"/>
    </row>
    <row r="308" ht="12.75" customHeight="1">
      <c r="A308" s="7"/>
      <c r="B308" s="7"/>
      <c r="C308" s="7"/>
      <c r="D308" s="7"/>
      <c r="E308" s="7"/>
      <c r="F308" s="7"/>
      <c r="G308" s="7"/>
      <c r="H308" s="7"/>
      <c r="I308" s="7"/>
    </row>
    <row r="309" ht="12.75" customHeight="1">
      <c r="A309" s="7"/>
      <c r="B309" s="7"/>
      <c r="C309" s="7"/>
      <c r="D309" s="7"/>
      <c r="E309" s="7"/>
      <c r="F309" s="7"/>
      <c r="G309" s="7"/>
      <c r="H309" s="7"/>
      <c r="I309" s="7"/>
    </row>
    <row r="310" ht="12.75" customHeight="1">
      <c r="A310" s="7"/>
      <c r="B310" s="7"/>
      <c r="C310" s="7"/>
      <c r="D310" s="7"/>
      <c r="E310" s="7"/>
      <c r="F310" s="7"/>
      <c r="G310" s="7"/>
      <c r="H310" s="7"/>
      <c r="I310" s="7"/>
    </row>
    <row r="311" ht="12.75" customHeight="1">
      <c r="A311" s="7"/>
      <c r="B311" s="7"/>
      <c r="C311" s="7"/>
      <c r="D311" s="7"/>
      <c r="E311" s="7"/>
      <c r="F311" s="7"/>
      <c r="G311" s="7"/>
      <c r="H311" s="7"/>
      <c r="I311" s="7"/>
    </row>
    <row r="312" ht="12.75" customHeight="1">
      <c r="A312" s="7"/>
      <c r="B312" s="7"/>
      <c r="C312" s="7"/>
      <c r="D312" s="7"/>
      <c r="E312" s="7"/>
      <c r="F312" s="7"/>
      <c r="G312" s="7"/>
      <c r="H312" s="7"/>
      <c r="I312" s="7"/>
    </row>
    <row r="313" ht="12.75" customHeight="1">
      <c r="A313" s="7"/>
      <c r="B313" s="7"/>
      <c r="C313" s="7"/>
      <c r="D313" s="7"/>
      <c r="E313" s="7"/>
      <c r="F313" s="7"/>
      <c r="G313" s="7"/>
      <c r="H313" s="7"/>
      <c r="I313" s="7"/>
    </row>
    <row r="314" ht="12.75" customHeight="1">
      <c r="A314" s="7"/>
      <c r="B314" s="7"/>
      <c r="C314" s="7"/>
      <c r="D314" s="7"/>
      <c r="E314" s="7"/>
      <c r="F314" s="7"/>
      <c r="G314" s="7"/>
      <c r="H314" s="7"/>
      <c r="I314" s="7"/>
    </row>
    <row r="315" ht="12.75" customHeight="1">
      <c r="A315" s="7"/>
      <c r="B315" s="7"/>
      <c r="C315" s="7"/>
      <c r="D315" s="7"/>
      <c r="E315" s="7"/>
      <c r="F315" s="7"/>
      <c r="G315" s="7"/>
      <c r="H315" s="7"/>
      <c r="I315" s="7"/>
    </row>
    <row r="316" ht="12.75" customHeight="1">
      <c r="A316" s="7"/>
      <c r="B316" s="7"/>
      <c r="C316" s="7"/>
      <c r="D316" s="7"/>
      <c r="E316" s="7"/>
      <c r="F316" s="7"/>
      <c r="G316" s="7"/>
      <c r="H316" s="7"/>
      <c r="I316" s="7"/>
    </row>
    <row r="317" ht="12.75" customHeight="1">
      <c r="A317" s="7"/>
      <c r="B317" s="7"/>
      <c r="C317" s="7"/>
      <c r="D317" s="7"/>
      <c r="E317" s="7"/>
      <c r="F317" s="7"/>
      <c r="G317" s="7"/>
      <c r="H317" s="7"/>
      <c r="I317" s="7"/>
    </row>
    <row r="318" ht="12.75" customHeight="1">
      <c r="A318" s="7"/>
      <c r="B318" s="7"/>
      <c r="C318" s="7"/>
      <c r="D318" s="7"/>
      <c r="E318" s="7"/>
      <c r="F318" s="7"/>
      <c r="G318" s="7"/>
      <c r="H318" s="7"/>
      <c r="I318" s="7"/>
    </row>
    <row r="319" ht="12.75" customHeight="1">
      <c r="A319" s="7"/>
      <c r="B319" s="7"/>
      <c r="C319" s="7"/>
      <c r="D319" s="7"/>
      <c r="E319" s="7"/>
      <c r="F319" s="7"/>
      <c r="G319" s="7"/>
      <c r="H319" s="7"/>
      <c r="I319" s="7"/>
    </row>
    <row r="320" ht="12.75" customHeight="1">
      <c r="A320" s="7"/>
      <c r="B320" s="7"/>
      <c r="C320" s="7"/>
      <c r="D320" s="7"/>
      <c r="E320" s="7"/>
      <c r="F320" s="7"/>
      <c r="G320" s="7"/>
      <c r="H320" s="7"/>
      <c r="I320" s="7"/>
    </row>
    <row r="321" ht="12.75" customHeight="1">
      <c r="A321" s="7"/>
      <c r="B321" s="7"/>
      <c r="C321" s="7"/>
      <c r="D321" s="7"/>
      <c r="E321" s="7"/>
      <c r="F321" s="7"/>
      <c r="G321" s="7"/>
      <c r="H321" s="7"/>
      <c r="I321" s="7"/>
    </row>
    <row r="322" ht="12.75" customHeight="1">
      <c r="A322" s="7"/>
      <c r="B322" s="7"/>
      <c r="C322" s="7"/>
      <c r="D322" s="7"/>
      <c r="E322" s="7"/>
      <c r="F322" s="7"/>
      <c r="G322" s="7"/>
      <c r="H322" s="7"/>
      <c r="I322" s="7"/>
    </row>
    <row r="323" ht="12.75" customHeight="1">
      <c r="A323" s="7"/>
      <c r="B323" s="7"/>
      <c r="C323" s="7"/>
      <c r="D323" s="7"/>
      <c r="E323" s="7"/>
      <c r="F323" s="7"/>
      <c r="G323" s="7"/>
      <c r="H323" s="7"/>
      <c r="I323" s="7"/>
    </row>
    <row r="324" ht="12.75" customHeight="1">
      <c r="A324" s="7"/>
      <c r="B324" s="7"/>
      <c r="C324" s="7"/>
      <c r="D324" s="7"/>
      <c r="E324" s="7"/>
      <c r="F324" s="7"/>
      <c r="G324" s="7"/>
      <c r="H324" s="7"/>
      <c r="I324" s="7"/>
    </row>
    <row r="325" ht="12.75" customHeight="1">
      <c r="A325" s="7"/>
      <c r="B325" s="7"/>
      <c r="C325" s="7"/>
      <c r="D325" s="7"/>
      <c r="E325" s="7"/>
      <c r="F325" s="7"/>
      <c r="G325" s="7"/>
      <c r="H325" s="7"/>
      <c r="I325" s="7"/>
    </row>
    <row r="326" ht="12.75" customHeight="1">
      <c r="A326" s="7"/>
      <c r="B326" s="7"/>
      <c r="C326" s="7"/>
      <c r="D326" s="7"/>
      <c r="E326" s="7"/>
      <c r="F326" s="7"/>
      <c r="G326" s="7"/>
      <c r="H326" s="7"/>
      <c r="I326" s="7"/>
    </row>
    <row r="327" ht="12.75" customHeight="1">
      <c r="A327" s="7"/>
      <c r="B327" s="7"/>
      <c r="C327" s="7"/>
      <c r="D327" s="7"/>
      <c r="E327" s="7"/>
      <c r="F327" s="7"/>
      <c r="G327" s="7"/>
      <c r="H327" s="7"/>
      <c r="I327" s="7"/>
    </row>
    <row r="328" ht="12.75" customHeight="1">
      <c r="A328" s="7"/>
      <c r="B328" s="7"/>
      <c r="C328" s="7"/>
      <c r="D328" s="7"/>
      <c r="E328" s="7"/>
      <c r="F328" s="7"/>
      <c r="G328" s="7"/>
      <c r="H328" s="7"/>
      <c r="I328" s="7"/>
    </row>
    <row r="329" ht="12.75" customHeight="1">
      <c r="A329" s="7"/>
      <c r="B329" s="7"/>
      <c r="C329" s="7"/>
      <c r="D329" s="7"/>
      <c r="E329" s="7"/>
      <c r="F329" s="7"/>
      <c r="G329" s="7"/>
      <c r="H329" s="7"/>
      <c r="I329" s="7"/>
    </row>
    <row r="330" ht="12.75" customHeight="1">
      <c r="A330" s="7"/>
      <c r="B330" s="7"/>
      <c r="C330" s="7"/>
      <c r="D330" s="7"/>
      <c r="E330" s="7"/>
      <c r="F330" s="7"/>
      <c r="G330" s="7"/>
      <c r="H330" s="7"/>
      <c r="I330" s="7"/>
    </row>
    <row r="331" ht="12.75" customHeight="1">
      <c r="A331" s="7"/>
      <c r="B331" s="7"/>
      <c r="C331" s="7"/>
      <c r="D331" s="7"/>
      <c r="E331" s="7"/>
      <c r="F331" s="7"/>
      <c r="G331" s="7"/>
      <c r="H331" s="7"/>
      <c r="I331" s="7"/>
    </row>
    <row r="332" ht="12.75" customHeight="1">
      <c r="A332" s="7"/>
      <c r="B332" s="7"/>
      <c r="C332" s="7"/>
      <c r="D332" s="7"/>
      <c r="E332" s="7"/>
      <c r="F332" s="7"/>
      <c r="G332" s="7"/>
      <c r="H332" s="7"/>
      <c r="I332" s="7"/>
    </row>
    <row r="333" ht="12.75" customHeight="1">
      <c r="A333" s="7"/>
      <c r="B333" s="7"/>
      <c r="C333" s="7"/>
      <c r="D333" s="7"/>
      <c r="E333" s="7"/>
      <c r="F333" s="7"/>
      <c r="G333" s="7"/>
      <c r="H333" s="7"/>
      <c r="I333" s="7"/>
    </row>
    <row r="334" ht="12.75" customHeight="1">
      <c r="A334" s="7"/>
      <c r="B334" s="7"/>
      <c r="C334" s="7"/>
      <c r="D334" s="7"/>
      <c r="E334" s="7"/>
      <c r="F334" s="7"/>
      <c r="G334" s="7"/>
      <c r="H334" s="7"/>
      <c r="I334" s="7"/>
    </row>
    <row r="335" ht="12.75" customHeight="1">
      <c r="A335" s="7"/>
      <c r="B335" s="7"/>
      <c r="C335" s="7"/>
      <c r="D335" s="7"/>
      <c r="E335" s="7"/>
      <c r="F335" s="7"/>
      <c r="G335" s="7"/>
      <c r="H335" s="7"/>
      <c r="I335" s="7"/>
    </row>
    <row r="336" ht="12.75" customHeight="1">
      <c r="A336" s="7"/>
      <c r="B336" s="7"/>
      <c r="C336" s="7"/>
      <c r="D336" s="7"/>
      <c r="E336" s="7"/>
      <c r="F336" s="7"/>
      <c r="G336" s="7"/>
      <c r="H336" s="7"/>
      <c r="I336" s="7"/>
    </row>
    <row r="337" ht="12.75" customHeight="1">
      <c r="A337" s="7"/>
      <c r="B337" s="7"/>
      <c r="C337" s="7"/>
      <c r="D337" s="7"/>
      <c r="E337" s="7"/>
      <c r="F337" s="7"/>
      <c r="G337" s="7"/>
      <c r="H337" s="7"/>
      <c r="I337" s="7"/>
    </row>
    <row r="338" ht="12.75" customHeight="1">
      <c r="A338" s="7"/>
      <c r="B338" s="7"/>
      <c r="C338" s="7"/>
      <c r="D338" s="7"/>
      <c r="E338" s="7"/>
      <c r="F338" s="7"/>
      <c r="G338" s="7"/>
      <c r="H338" s="7"/>
      <c r="I338" s="7"/>
    </row>
    <row r="339" ht="12.75" customHeight="1">
      <c r="A339" s="7"/>
      <c r="B339" s="7"/>
      <c r="C339" s="7"/>
      <c r="D339" s="7"/>
      <c r="E339" s="7"/>
      <c r="F339" s="7"/>
      <c r="G339" s="7"/>
      <c r="H339" s="7"/>
      <c r="I339" s="7"/>
    </row>
    <row r="340" ht="12.75" customHeight="1">
      <c r="A340" s="7"/>
      <c r="B340" s="7"/>
      <c r="C340" s="7"/>
      <c r="D340" s="7"/>
      <c r="E340" s="7"/>
      <c r="F340" s="7"/>
      <c r="G340" s="7"/>
      <c r="H340" s="7"/>
      <c r="I340" s="7"/>
    </row>
    <row r="341" ht="12.75" customHeight="1">
      <c r="A341" s="7"/>
      <c r="B341" s="7"/>
      <c r="C341" s="7"/>
      <c r="D341" s="7"/>
      <c r="E341" s="7"/>
      <c r="F341" s="7"/>
      <c r="G341" s="7"/>
      <c r="H341" s="7"/>
      <c r="I341" s="7"/>
    </row>
    <row r="342" ht="12.75" customHeight="1">
      <c r="A342" s="7"/>
      <c r="B342" s="7"/>
      <c r="C342" s="7"/>
      <c r="D342" s="7"/>
      <c r="E342" s="7"/>
      <c r="F342" s="7"/>
      <c r="G342" s="7"/>
      <c r="H342" s="7"/>
      <c r="I342" s="7"/>
    </row>
    <row r="343" ht="12.75" customHeight="1">
      <c r="A343" s="7"/>
      <c r="B343" s="7"/>
      <c r="C343" s="7"/>
      <c r="D343" s="7"/>
      <c r="E343" s="7"/>
      <c r="F343" s="7"/>
      <c r="G343" s="7"/>
      <c r="H343" s="7"/>
      <c r="I343" s="7"/>
    </row>
    <row r="344" ht="12.75" customHeight="1">
      <c r="A344" s="7"/>
      <c r="B344" s="7"/>
      <c r="C344" s="7"/>
      <c r="D344" s="7"/>
      <c r="E344" s="7"/>
      <c r="F344" s="7"/>
      <c r="G344" s="7"/>
      <c r="H344" s="7"/>
      <c r="I344" s="7"/>
    </row>
    <row r="345" ht="12.75" customHeight="1">
      <c r="A345" s="7"/>
      <c r="B345" s="7"/>
      <c r="C345" s="7"/>
      <c r="D345" s="7"/>
      <c r="E345" s="7"/>
      <c r="F345" s="7"/>
      <c r="G345" s="7"/>
      <c r="H345" s="7"/>
      <c r="I345" s="7"/>
    </row>
    <row r="346" ht="12.75" customHeight="1">
      <c r="A346" s="7"/>
      <c r="B346" s="7"/>
      <c r="C346" s="7"/>
      <c r="D346" s="7"/>
      <c r="E346" s="7"/>
      <c r="F346" s="7"/>
      <c r="G346" s="7"/>
      <c r="H346" s="7"/>
      <c r="I346" s="7"/>
    </row>
    <row r="347" ht="12.75" customHeight="1">
      <c r="A347" s="7"/>
      <c r="B347" s="7"/>
      <c r="C347" s="7"/>
      <c r="D347" s="7"/>
      <c r="E347" s="7"/>
      <c r="F347" s="7"/>
      <c r="G347" s="7"/>
      <c r="H347" s="7"/>
      <c r="I347" s="7"/>
    </row>
    <row r="348" ht="12.75" customHeight="1">
      <c r="A348" s="7"/>
      <c r="B348" s="7"/>
      <c r="C348" s="7"/>
      <c r="D348" s="7"/>
      <c r="E348" s="7"/>
      <c r="F348" s="7"/>
      <c r="G348" s="7"/>
      <c r="H348" s="7"/>
      <c r="I348" s="7"/>
    </row>
    <row r="349" ht="12.75" customHeight="1">
      <c r="A349" s="7"/>
      <c r="B349" s="7"/>
      <c r="C349" s="7"/>
      <c r="D349" s="7"/>
      <c r="E349" s="7"/>
      <c r="F349" s="7"/>
      <c r="G349" s="7"/>
      <c r="H349" s="7"/>
      <c r="I349" s="7"/>
    </row>
    <row r="350" ht="12.75" customHeight="1">
      <c r="A350" s="7"/>
      <c r="B350" s="7"/>
      <c r="C350" s="7"/>
      <c r="D350" s="7"/>
      <c r="E350" s="7"/>
      <c r="F350" s="7"/>
      <c r="G350" s="7"/>
      <c r="H350" s="7"/>
      <c r="I350" s="7"/>
    </row>
    <row r="351" ht="12.75" customHeight="1">
      <c r="A351" s="7"/>
      <c r="B351" s="7"/>
      <c r="C351" s="7"/>
      <c r="D351" s="7"/>
      <c r="E351" s="7"/>
      <c r="F351" s="7"/>
      <c r="G351" s="7"/>
      <c r="H351" s="7"/>
      <c r="I351" s="7"/>
    </row>
    <row r="352" ht="12.75" customHeight="1">
      <c r="A352" s="7"/>
      <c r="B352" s="7"/>
      <c r="C352" s="7"/>
      <c r="D352" s="7"/>
      <c r="E352" s="7"/>
      <c r="F352" s="7"/>
      <c r="G352" s="7"/>
      <c r="H352" s="7"/>
      <c r="I352" s="7"/>
    </row>
    <row r="353" ht="12.75" customHeight="1">
      <c r="A353" s="7"/>
      <c r="B353" s="7"/>
      <c r="C353" s="7"/>
      <c r="D353" s="7"/>
      <c r="E353" s="7"/>
      <c r="F353" s="7"/>
      <c r="G353" s="7"/>
      <c r="H353" s="7"/>
      <c r="I353" s="7"/>
    </row>
    <row r="354" ht="12.75" customHeight="1">
      <c r="A354" s="7"/>
      <c r="B354" s="7"/>
      <c r="C354" s="7"/>
      <c r="D354" s="7"/>
      <c r="E354" s="7"/>
      <c r="F354" s="7"/>
      <c r="G354" s="7"/>
      <c r="H354" s="7"/>
      <c r="I354" s="7"/>
    </row>
    <row r="355" ht="12.75" customHeight="1">
      <c r="A355" s="7"/>
      <c r="B355" s="7"/>
      <c r="C355" s="7"/>
      <c r="D355" s="7"/>
      <c r="E355" s="7"/>
      <c r="F355" s="7"/>
      <c r="G355" s="7"/>
      <c r="H355" s="7"/>
      <c r="I355" s="7"/>
    </row>
    <row r="356" ht="12.75" customHeight="1">
      <c r="A356" s="7"/>
      <c r="B356" s="7"/>
      <c r="C356" s="7"/>
      <c r="D356" s="7"/>
      <c r="E356" s="7"/>
      <c r="F356" s="7"/>
      <c r="G356" s="7"/>
      <c r="H356" s="7"/>
      <c r="I356" s="7"/>
    </row>
    <row r="357" ht="12.75" customHeight="1">
      <c r="A357" s="7"/>
      <c r="B357" s="7"/>
      <c r="C357" s="7"/>
      <c r="D357" s="7"/>
      <c r="E357" s="7"/>
      <c r="F357" s="7"/>
      <c r="G357" s="7"/>
      <c r="H357" s="7"/>
      <c r="I357" s="7"/>
    </row>
    <row r="358" ht="12.75" customHeight="1">
      <c r="A358" s="7"/>
      <c r="B358" s="7"/>
      <c r="C358" s="7"/>
      <c r="D358" s="7"/>
      <c r="E358" s="7"/>
      <c r="F358" s="7"/>
      <c r="G358" s="7"/>
      <c r="H358" s="7"/>
      <c r="I358" s="7"/>
    </row>
    <row r="359" ht="12.75" customHeight="1">
      <c r="A359" s="7"/>
      <c r="B359" s="7"/>
      <c r="C359" s="7"/>
      <c r="D359" s="7"/>
      <c r="E359" s="7"/>
      <c r="F359" s="7"/>
      <c r="G359" s="7"/>
      <c r="H359" s="7"/>
      <c r="I359" s="7"/>
    </row>
    <row r="360" ht="12.75" customHeight="1">
      <c r="A360" s="7"/>
      <c r="B360" s="7"/>
      <c r="C360" s="7"/>
      <c r="D360" s="7"/>
      <c r="E360" s="7"/>
      <c r="F360" s="7"/>
      <c r="G360" s="7"/>
      <c r="H360" s="7"/>
      <c r="I360" s="7"/>
    </row>
    <row r="361" ht="12.75" customHeight="1">
      <c r="A361" s="7"/>
      <c r="B361" s="7"/>
      <c r="C361" s="7"/>
      <c r="D361" s="7"/>
      <c r="E361" s="7"/>
      <c r="F361" s="7"/>
      <c r="G361" s="7"/>
      <c r="H361" s="7"/>
      <c r="I361" s="7"/>
    </row>
    <row r="362" ht="12.75" customHeight="1">
      <c r="A362" s="7"/>
      <c r="B362" s="7"/>
      <c r="C362" s="7"/>
      <c r="D362" s="7"/>
      <c r="E362" s="7"/>
      <c r="F362" s="7"/>
      <c r="G362" s="7"/>
      <c r="H362" s="7"/>
      <c r="I362" s="7"/>
    </row>
    <row r="363" ht="12.75" customHeight="1">
      <c r="A363" s="7"/>
      <c r="B363" s="7"/>
      <c r="C363" s="7"/>
      <c r="D363" s="7"/>
      <c r="E363" s="7"/>
      <c r="F363" s="7"/>
      <c r="G363" s="7"/>
      <c r="H363" s="7"/>
      <c r="I363" s="7"/>
    </row>
    <row r="364" ht="12.75" customHeight="1">
      <c r="A364" s="7"/>
      <c r="B364" s="7"/>
      <c r="C364" s="7"/>
      <c r="D364" s="7"/>
      <c r="E364" s="7"/>
      <c r="F364" s="7"/>
      <c r="G364" s="7"/>
      <c r="H364" s="7"/>
      <c r="I364" s="7"/>
    </row>
    <row r="365" ht="12.75" customHeight="1">
      <c r="A365" s="7"/>
      <c r="B365" s="7"/>
      <c r="C365" s="7"/>
      <c r="D365" s="7"/>
      <c r="E365" s="7"/>
      <c r="F365" s="7"/>
      <c r="G365" s="7"/>
      <c r="H365" s="7"/>
      <c r="I365" s="7"/>
    </row>
    <row r="366" ht="12.75" customHeight="1">
      <c r="A366" s="7"/>
      <c r="B366" s="7"/>
      <c r="C366" s="7"/>
      <c r="D366" s="7"/>
      <c r="E366" s="7"/>
      <c r="F366" s="7"/>
      <c r="G366" s="7"/>
      <c r="H366" s="7"/>
      <c r="I366" s="7"/>
    </row>
    <row r="367" ht="12.75" customHeight="1">
      <c r="A367" s="7"/>
      <c r="B367" s="7"/>
      <c r="C367" s="7"/>
      <c r="D367" s="7"/>
      <c r="E367" s="7"/>
      <c r="F367" s="7"/>
      <c r="G367" s="7"/>
      <c r="H367" s="7"/>
      <c r="I367" s="7"/>
    </row>
    <row r="368" ht="12.75" customHeight="1">
      <c r="A368" s="7"/>
      <c r="B368" s="7"/>
      <c r="C368" s="7"/>
      <c r="D368" s="7"/>
      <c r="E368" s="7"/>
      <c r="F368" s="7"/>
      <c r="G368" s="7"/>
      <c r="H368" s="7"/>
      <c r="I368" s="7"/>
    </row>
    <row r="369" ht="12.75" customHeight="1">
      <c r="A369" s="7"/>
      <c r="B369" s="7"/>
      <c r="C369" s="7"/>
      <c r="D369" s="7"/>
      <c r="E369" s="7"/>
      <c r="F369" s="7"/>
      <c r="G369" s="7"/>
      <c r="H369" s="7"/>
      <c r="I369" s="7"/>
    </row>
    <row r="370" ht="12.75" customHeight="1">
      <c r="A370" s="7"/>
      <c r="B370" s="7"/>
      <c r="C370" s="7"/>
      <c r="D370" s="7"/>
      <c r="E370" s="7"/>
      <c r="F370" s="7"/>
      <c r="G370" s="7"/>
      <c r="H370" s="7"/>
      <c r="I370" s="7"/>
    </row>
    <row r="371" ht="12.75" customHeight="1">
      <c r="A371" s="7"/>
      <c r="B371" s="7"/>
      <c r="C371" s="7"/>
      <c r="D371" s="7"/>
      <c r="E371" s="7"/>
      <c r="F371" s="7"/>
      <c r="G371" s="7"/>
      <c r="H371" s="7"/>
      <c r="I371" s="7"/>
    </row>
    <row r="372" ht="12.75" customHeight="1">
      <c r="A372" s="7"/>
      <c r="B372" s="7"/>
      <c r="C372" s="7"/>
      <c r="D372" s="7"/>
      <c r="E372" s="7"/>
      <c r="F372" s="7"/>
      <c r="G372" s="7"/>
      <c r="H372" s="7"/>
      <c r="I372" s="7"/>
    </row>
    <row r="373" ht="12.75" customHeight="1">
      <c r="A373" s="7"/>
      <c r="B373" s="7"/>
      <c r="C373" s="7"/>
      <c r="D373" s="7"/>
      <c r="E373" s="7"/>
      <c r="F373" s="7"/>
      <c r="G373" s="7"/>
      <c r="H373" s="7"/>
      <c r="I373" s="7"/>
    </row>
    <row r="374" ht="12.75" customHeight="1">
      <c r="A374" s="7"/>
      <c r="B374" s="7"/>
      <c r="C374" s="7"/>
      <c r="D374" s="7"/>
      <c r="E374" s="7"/>
      <c r="F374" s="7"/>
      <c r="G374" s="7"/>
      <c r="H374" s="7"/>
      <c r="I374" s="7"/>
    </row>
    <row r="375" ht="12.75" customHeight="1">
      <c r="A375" s="7"/>
      <c r="B375" s="7"/>
      <c r="C375" s="7"/>
      <c r="D375" s="7"/>
      <c r="E375" s="7"/>
      <c r="F375" s="7"/>
      <c r="G375" s="7"/>
      <c r="H375" s="7"/>
      <c r="I375" s="7"/>
    </row>
    <row r="376" ht="12.75" customHeight="1">
      <c r="A376" s="7"/>
      <c r="B376" s="7"/>
      <c r="C376" s="7"/>
      <c r="D376" s="7"/>
      <c r="E376" s="7"/>
      <c r="F376" s="7"/>
      <c r="G376" s="7"/>
      <c r="H376" s="7"/>
      <c r="I376" s="7"/>
    </row>
    <row r="377" ht="12.75" customHeight="1">
      <c r="A377" s="7"/>
      <c r="B377" s="7"/>
      <c r="C377" s="7"/>
      <c r="D377" s="7"/>
      <c r="E377" s="7"/>
      <c r="F377" s="7"/>
      <c r="G377" s="7"/>
      <c r="H377" s="7"/>
      <c r="I377" s="7"/>
    </row>
    <row r="378" ht="12.75" customHeight="1">
      <c r="A378" s="7"/>
      <c r="B378" s="7"/>
      <c r="C378" s="7"/>
      <c r="D378" s="7"/>
      <c r="E378" s="7"/>
      <c r="F378" s="7"/>
      <c r="G378" s="7"/>
      <c r="H378" s="7"/>
      <c r="I378" s="7"/>
    </row>
    <row r="379" ht="12.75" customHeight="1">
      <c r="A379" s="7"/>
      <c r="B379" s="7"/>
      <c r="C379" s="7"/>
      <c r="D379" s="7"/>
      <c r="E379" s="7"/>
      <c r="F379" s="7"/>
      <c r="G379" s="7"/>
      <c r="H379" s="7"/>
      <c r="I379" s="7"/>
    </row>
    <row r="380" ht="12.75" customHeight="1">
      <c r="A380" s="7"/>
      <c r="B380" s="7"/>
      <c r="C380" s="7"/>
      <c r="D380" s="7"/>
      <c r="E380" s="7"/>
      <c r="F380" s="7"/>
      <c r="G380" s="7"/>
      <c r="H380" s="7"/>
      <c r="I380" s="7"/>
    </row>
    <row r="381" ht="12.75" customHeight="1">
      <c r="A381" s="7"/>
      <c r="B381" s="7"/>
      <c r="C381" s="7"/>
      <c r="D381" s="7"/>
      <c r="E381" s="7"/>
      <c r="F381" s="7"/>
      <c r="G381" s="7"/>
      <c r="H381" s="7"/>
      <c r="I381" s="7"/>
    </row>
    <row r="382" ht="12.75" customHeight="1">
      <c r="A382" s="7"/>
      <c r="B382" s="7"/>
      <c r="C382" s="7"/>
      <c r="D382" s="7"/>
      <c r="E382" s="7"/>
      <c r="F382" s="7"/>
      <c r="G382" s="7"/>
      <c r="H382" s="7"/>
      <c r="I382" s="7"/>
    </row>
    <row r="383" ht="12.75" customHeight="1">
      <c r="A383" s="7"/>
      <c r="B383" s="7"/>
      <c r="C383" s="7"/>
      <c r="D383" s="7"/>
      <c r="E383" s="7"/>
      <c r="F383" s="7"/>
      <c r="G383" s="7"/>
      <c r="H383" s="7"/>
      <c r="I383" s="7"/>
    </row>
    <row r="384" ht="12.75" customHeight="1">
      <c r="A384" s="7"/>
      <c r="B384" s="7"/>
      <c r="C384" s="7"/>
      <c r="D384" s="7"/>
      <c r="E384" s="7"/>
      <c r="F384" s="7"/>
      <c r="G384" s="7"/>
      <c r="H384" s="7"/>
      <c r="I384" s="7"/>
    </row>
    <row r="385" ht="12.75" customHeight="1">
      <c r="A385" s="7"/>
      <c r="B385" s="7"/>
      <c r="C385" s="7"/>
      <c r="D385" s="7"/>
      <c r="E385" s="7"/>
      <c r="F385" s="7"/>
      <c r="G385" s="7"/>
      <c r="H385" s="7"/>
      <c r="I385" s="7"/>
    </row>
    <row r="386" ht="12.75" customHeight="1">
      <c r="A386" s="7"/>
      <c r="B386" s="7"/>
      <c r="C386" s="7"/>
      <c r="D386" s="7"/>
      <c r="E386" s="7"/>
      <c r="F386" s="7"/>
      <c r="G386" s="7"/>
      <c r="H386" s="7"/>
      <c r="I386" s="7"/>
    </row>
    <row r="387" ht="12.75" customHeight="1">
      <c r="A387" s="7"/>
      <c r="B387" s="7"/>
      <c r="C387" s="7"/>
      <c r="D387" s="7"/>
      <c r="E387" s="7"/>
      <c r="F387" s="7"/>
      <c r="G387" s="7"/>
      <c r="H387" s="7"/>
      <c r="I387" s="7"/>
    </row>
    <row r="388" ht="12.75" customHeight="1">
      <c r="A388" s="7"/>
      <c r="B388" s="7"/>
      <c r="C388" s="7"/>
      <c r="D388" s="7"/>
      <c r="E388" s="7"/>
      <c r="F388" s="7"/>
      <c r="G388" s="7"/>
      <c r="H388" s="7"/>
      <c r="I388" s="7"/>
    </row>
    <row r="389" ht="12.75" customHeight="1">
      <c r="A389" s="7"/>
      <c r="B389" s="7"/>
      <c r="C389" s="7"/>
      <c r="D389" s="7"/>
      <c r="E389" s="7"/>
      <c r="F389" s="7"/>
      <c r="G389" s="7"/>
      <c r="H389" s="7"/>
      <c r="I389" s="7"/>
    </row>
    <row r="390" ht="12.75" customHeight="1">
      <c r="A390" s="7"/>
      <c r="B390" s="7"/>
      <c r="C390" s="7"/>
      <c r="D390" s="7"/>
      <c r="E390" s="7"/>
      <c r="F390" s="7"/>
      <c r="G390" s="7"/>
      <c r="H390" s="7"/>
      <c r="I390" s="7"/>
    </row>
    <row r="391" ht="12.75" customHeight="1">
      <c r="A391" s="7"/>
      <c r="B391" s="7"/>
      <c r="C391" s="7"/>
      <c r="D391" s="7"/>
      <c r="E391" s="7"/>
      <c r="F391" s="7"/>
      <c r="G391" s="7"/>
      <c r="H391" s="7"/>
      <c r="I391" s="7"/>
    </row>
    <row r="392" ht="12.75" customHeight="1">
      <c r="A392" s="7"/>
      <c r="B392" s="7"/>
      <c r="C392" s="7"/>
      <c r="D392" s="7"/>
      <c r="E392" s="7"/>
      <c r="F392" s="7"/>
      <c r="G392" s="7"/>
      <c r="H392" s="7"/>
      <c r="I392" s="7"/>
    </row>
    <row r="393" ht="12.75" customHeight="1">
      <c r="A393" s="7"/>
      <c r="B393" s="7"/>
      <c r="C393" s="7"/>
      <c r="D393" s="7"/>
      <c r="E393" s="7"/>
      <c r="F393" s="7"/>
      <c r="G393" s="7"/>
      <c r="H393" s="7"/>
      <c r="I393" s="7"/>
    </row>
    <row r="394" ht="12.75" customHeight="1">
      <c r="A394" s="7"/>
      <c r="B394" s="7"/>
      <c r="C394" s="7"/>
      <c r="D394" s="7"/>
      <c r="E394" s="7"/>
      <c r="F394" s="7"/>
      <c r="G394" s="7"/>
      <c r="H394" s="7"/>
      <c r="I394" s="7"/>
    </row>
    <row r="395" ht="12.75" customHeight="1">
      <c r="A395" s="7"/>
      <c r="B395" s="7"/>
      <c r="C395" s="7"/>
      <c r="D395" s="7"/>
      <c r="E395" s="7"/>
      <c r="F395" s="7"/>
      <c r="G395" s="7"/>
      <c r="H395" s="7"/>
      <c r="I395" s="7"/>
    </row>
    <row r="396" ht="12.75" customHeight="1">
      <c r="A396" s="7"/>
      <c r="B396" s="7"/>
      <c r="C396" s="7"/>
      <c r="D396" s="7"/>
      <c r="E396" s="7"/>
      <c r="F396" s="7"/>
      <c r="G396" s="7"/>
      <c r="H396" s="7"/>
      <c r="I396" s="7"/>
    </row>
    <row r="397" ht="12.75" customHeight="1">
      <c r="A397" s="7"/>
      <c r="B397" s="7"/>
      <c r="C397" s="7"/>
      <c r="D397" s="7"/>
      <c r="E397" s="7"/>
      <c r="F397" s="7"/>
      <c r="G397" s="7"/>
      <c r="H397" s="7"/>
      <c r="I397" s="7"/>
    </row>
    <row r="398" ht="12.75" customHeight="1">
      <c r="A398" s="7"/>
      <c r="B398" s="7"/>
      <c r="C398" s="7"/>
      <c r="D398" s="7"/>
      <c r="E398" s="7"/>
      <c r="F398" s="7"/>
      <c r="G398" s="7"/>
      <c r="H398" s="7"/>
      <c r="I398" s="7"/>
    </row>
    <row r="399" ht="12.75" customHeight="1">
      <c r="A399" s="7"/>
      <c r="B399" s="7"/>
      <c r="C399" s="7"/>
      <c r="D399" s="7"/>
      <c r="E399" s="7"/>
      <c r="F399" s="7"/>
      <c r="G399" s="7"/>
      <c r="H399" s="7"/>
      <c r="I399" s="7"/>
    </row>
    <row r="400" ht="12.75" customHeight="1">
      <c r="A400" s="7"/>
      <c r="B400" s="7"/>
      <c r="C400" s="7"/>
      <c r="D400" s="7"/>
      <c r="E400" s="7"/>
      <c r="F400" s="7"/>
      <c r="G400" s="7"/>
      <c r="H400" s="7"/>
      <c r="I400" s="7"/>
    </row>
    <row r="401" ht="12.75" customHeight="1">
      <c r="A401" s="7"/>
      <c r="B401" s="7"/>
      <c r="C401" s="7"/>
      <c r="D401" s="7"/>
      <c r="E401" s="7"/>
      <c r="F401" s="7"/>
      <c r="G401" s="7"/>
      <c r="H401" s="7"/>
      <c r="I401" s="7"/>
    </row>
    <row r="402" ht="12.75" customHeight="1">
      <c r="A402" s="7"/>
      <c r="B402" s="7"/>
      <c r="C402" s="7"/>
      <c r="D402" s="7"/>
      <c r="E402" s="7"/>
      <c r="F402" s="7"/>
      <c r="G402" s="7"/>
      <c r="H402" s="7"/>
      <c r="I402" s="7"/>
    </row>
    <row r="403" ht="12.75" customHeight="1">
      <c r="A403" s="7"/>
      <c r="B403" s="7"/>
      <c r="C403" s="7"/>
      <c r="D403" s="7"/>
      <c r="E403" s="7"/>
      <c r="F403" s="7"/>
      <c r="G403" s="7"/>
      <c r="H403" s="7"/>
      <c r="I403" s="7"/>
    </row>
    <row r="404" ht="12.75" customHeight="1">
      <c r="A404" s="7"/>
      <c r="B404" s="7"/>
      <c r="C404" s="7"/>
      <c r="D404" s="7"/>
      <c r="E404" s="7"/>
      <c r="F404" s="7"/>
      <c r="G404" s="7"/>
      <c r="H404" s="7"/>
      <c r="I404" s="7"/>
    </row>
    <row r="405" ht="12.75" customHeight="1">
      <c r="A405" s="7"/>
      <c r="B405" s="7"/>
      <c r="C405" s="7"/>
      <c r="D405" s="7"/>
      <c r="E405" s="7"/>
      <c r="F405" s="7"/>
      <c r="G405" s="7"/>
      <c r="H405" s="7"/>
      <c r="I405" s="7"/>
    </row>
    <row r="406" ht="12.75" customHeight="1">
      <c r="A406" s="7"/>
      <c r="B406" s="7"/>
      <c r="C406" s="7"/>
      <c r="D406" s="7"/>
      <c r="E406" s="7"/>
      <c r="F406" s="7"/>
      <c r="G406" s="7"/>
      <c r="H406" s="7"/>
      <c r="I406" s="7"/>
    </row>
    <row r="407" ht="12.75" customHeight="1">
      <c r="A407" s="7"/>
      <c r="B407" s="7"/>
      <c r="C407" s="7"/>
      <c r="D407" s="7"/>
      <c r="E407" s="7"/>
      <c r="F407" s="7"/>
      <c r="G407" s="7"/>
      <c r="H407" s="7"/>
      <c r="I407" s="7"/>
    </row>
    <row r="408" ht="12.75" customHeight="1">
      <c r="A408" s="7"/>
      <c r="B408" s="7"/>
      <c r="C408" s="7"/>
      <c r="D408" s="7"/>
      <c r="E408" s="7"/>
      <c r="F408" s="7"/>
      <c r="G408" s="7"/>
      <c r="H408" s="7"/>
      <c r="I408" s="7"/>
    </row>
    <row r="409" ht="12.75" customHeight="1">
      <c r="A409" s="7"/>
      <c r="B409" s="7"/>
      <c r="C409" s="7"/>
      <c r="D409" s="7"/>
      <c r="E409" s="7"/>
      <c r="F409" s="7"/>
      <c r="G409" s="7"/>
      <c r="H409" s="7"/>
      <c r="I409" s="7"/>
    </row>
    <row r="410" ht="12.75" customHeight="1">
      <c r="A410" s="7"/>
      <c r="B410" s="7"/>
      <c r="C410" s="7"/>
      <c r="D410" s="7"/>
      <c r="E410" s="7"/>
      <c r="F410" s="7"/>
      <c r="G410" s="7"/>
      <c r="H410" s="7"/>
      <c r="I410" s="7"/>
    </row>
    <row r="411" ht="12.75" customHeight="1">
      <c r="A411" s="7"/>
      <c r="B411" s="7"/>
      <c r="C411" s="7"/>
      <c r="D411" s="7"/>
      <c r="E411" s="7"/>
      <c r="F411" s="7"/>
      <c r="G411" s="7"/>
      <c r="H411" s="7"/>
      <c r="I411" s="7"/>
    </row>
    <row r="412" ht="12.75" customHeight="1">
      <c r="A412" s="7"/>
      <c r="B412" s="7"/>
      <c r="C412" s="7"/>
      <c r="D412" s="7"/>
      <c r="E412" s="7"/>
      <c r="F412" s="7"/>
      <c r="G412" s="7"/>
      <c r="H412" s="7"/>
      <c r="I412" s="7"/>
    </row>
    <row r="413" ht="12.75" customHeight="1">
      <c r="A413" s="7"/>
      <c r="B413" s="7"/>
      <c r="C413" s="7"/>
      <c r="D413" s="7"/>
      <c r="E413" s="7"/>
      <c r="F413" s="7"/>
      <c r="G413" s="7"/>
      <c r="H413" s="7"/>
      <c r="I413" s="7"/>
    </row>
    <row r="414" ht="12.75" customHeight="1">
      <c r="A414" s="7"/>
      <c r="B414" s="7"/>
      <c r="C414" s="7"/>
      <c r="D414" s="7"/>
      <c r="E414" s="7"/>
      <c r="F414" s="7"/>
      <c r="G414" s="7"/>
      <c r="H414" s="7"/>
      <c r="I414" s="7"/>
    </row>
    <row r="415" ht="12.75" customHeight="1">
      <c r="A415" s="7"/>
      <c r="B415" s="7"/>
      <c r="C415" s="7"/>
      <c r="D415" s="7"/>
      <c r="E415" s="7"/>
      <c r="F415" s="7"/>
      <c r="G415" s="7"/>
      <c r="H415" s="7"/>
      <c r="I415" s="7"/>
    </row>
    <row r="416" ht="12.75" customHeight="1">
      <c r="A416" s="7"/>
      <c r="B416" s="7"/>
      <c r="C416" s="7"/>
      <c r="D416" s="7"/>
      <c r="E416" s="7"/>
      <c r="F416" s="7"/>
      <c r="G416" s="7"/>
      <c r="H416" s="7"/>
      <c r="I416" s="7"/>
    </row>
    <row r="417" ht="12.75" customHeight="1">
      <c r="A417" s="7"/>
      <c r="B417" s="7"/>
      <c r="C417" s="7"/>
      <c r="D417" s="7"/>
      <c r="E417" s="7"/>
      <c r="F417" s="7"/>
      <c r="G417" s="7"/>
      <c r="H417" s="7"/>
      <c r="I417" s="7"/>
    </row>
    <row r="418" ht="12.75" customHeight="1">
      <c r="A418" s="7"/>
      <c r="B418" s="7"/>
      <c r="C418" s="7"/>
      <c r="D418" s="7"/>
      <c r="E418" s="7"/>
      <c r="F418" s="7"/>
      <c r="G418" s="7"/>
      <c r="H418" s="7"/>
      <c r="I418" s="7"/>
    </row>
    <row r="419" ht="12.75" customHeight="1">
      <c r="A419" s="7"/>
      <c r="B419" s="7"/>
      <c r="C419" s="7"/>
      <c r="D419" s="7"/>
      <c r="E419" s="7"/>
      <c r="F419" s="7"/>
      <c r="G419" s="7"/>
      <c r="H419" s="7"/>
      <c r="I419" s="7"/>
    </row>
    <row r="420" ht="12.75" customHeight="1">
      <c r="A420" s="7"/>
      <c r="B420" s="7"/>
      <c r="C420" s="7"/>
      <c r="D420" s="7"/>
      <c r="E420" s="7"/>
      <c r="F420" s="7"/>
      <c r="G420" s="7"/>
      <c r="H420" s="7"/>
      <c r="I420" s="7"/>
    </row>
    <row r="421" ht="12.75" customHeight="1">
      <c r="A421" s="7"/>
      <c r="B421" s="7"/>
      <c r="C421" s="7"/>
      <c r="D421" s="7"/>
      <c r="E421" s="7"/>
      <c r="F421" s="7"/>
      <c r="G421" s="7"/>
      <c r="H421" s="7"/>
      <c r="I421" s="7"/>
    </row>
    <row r="422" ht="12.75" customHeight="1">
      <c r="A422" s="7"/>
      <c r="B422" s="7"/>
      <c r="C422" s="7"/>
      <c r="D422" s="7"/>
      <c r="E422" s="7"/>
      <c r="F422" s="7"/>
      <c r="G422" s="7"/>
      <c r="H422" s="7"/>
      <c r="I422" s="7"/>
    </row>
    <row r="423" ht="12.75" customHeight="1">
      <c r="A423" s="7"/>
      <c r="B423" s="7"/>
      <c r="C423" s="7"/>
      <c r="D423" s="7"/>
      <c r="E423" s="7"/>
      <c r="F423" s="7"/>
      <c r="G423" s="7"/>
      <c r="H423" s="7"/>
      <c r="I423" s="7"/>
    </row>
    <row r="424" ht="12.75" customHeight="1">
      <c r="A424" s="7"/>
      <c r="B424" s="7"/>
      <c r="C424" s="7"/>
      <c r="D424" s="7"/>
      <c r="E424" s="7"/>
      <c r="F424" s="7"/>
      <c r="G424" s="7"/>
      <c r="H424" s="7"/>
      <c r="I424" s="7"/>
    </row>
    <row r="425" ht="12.75" customHeight="1">
      <c r="A425" s="7"/>
      <c r="B425" s="7"/>
      <c r="C425" s="7"/>
      <c r="D425" s="7"/>
      <c r="E425" s="7"/>
      <c r="F425" s="7"/>
      <c r="G425" s="7"/>
      <c r="H425" s="7"/>
      <c r="I425" s="7"/>
    </row>
    <row r="426" ht="12.75" customHeight="1">
      <c r="A426" s="7"/>
      <c r="B426" s="7"/>
      <c r="C426" s="7"/>
      <c r="D426" s="7"/>
      <c r="E426" s="7"/>
      <c r="F426" s="7"/>
      <c r="G426" s="7"/>
      <c r="H426" s="7"/>
      <c r="I426" s="7"/>
    </row>
    <row r="427" ht="12.75" customHeight="1">
      <c r="A427" s="7"/>
      <c r="B427" s="7"/>
      <c r="C427" s="7"/>
      <c r="D427" s="7"/>
      <c r="E427" s="7"/>
      <c r="F427" s="7"/>
      <c r="G427" s="7"/>
      <c r="H427" s="7"/>
      <c r="I427" s="7"/>
    </row>
    <row r="428" ht="12.75" customHeight="1">
      <c r="A428" s="7"/>
      <c r="B428" s="7"/>
      <c r="C428" s="7"/>
      <c r="D428" s="7"/>
      <c r="E428" s="7"/>
      <c r="F428" s="7"/>
      <c r="G428" s="7"/>
      <c r="H428" s="7"/>
      <c r="I428" s="7"/>
    </row>
    <row r="429" ht="12.75" customHeight="1">
      <c r="A429" s="7"/>
      <c r="B429" s="7"/>
      <c r="C429" s="7"/>
      <c r="D429" s="7"/>
      <c r="E429" s="7"/>
      <c r="F429" s="7"/>
      <c r="G429" s="7"/>
      <c r="H429" s="7"/>
      <c r="I429" s="7"/>
    </row>
    <row r="430" ht="12.75" customHeight="1">
      <c r="A430" s="7"/>
      <c r="B430" s="7"/>
      <c r="C430" s="7"/>
      <c r="D430" s="7"/>
      <c r="E430" s="7"/>
      <c r="F430" s="7"/>
      <c r="G430" s="7"/>
      <c r="H430" s="7"/>
      <c r="I430" s="7"/>
    </row>
    <row r="431" ht="12.75" customHeight="1">
      <c r="A431" s="7"/>
      <c r="B431" s="7"/>
      <c r="C431" s="7"/>
      <c r="D431" s="7"/>
      <c r="E431" s="7"/>
      <c r="F431" s="7"/>
      <c r="G431" s="7"/>
      <c r="H431" s="7"/>
      <c r="I431" s="7"/>
    </row>
    <row r="432" ht="12.75" customHeight="1">
      <c r="A432" s="7"/>
      <c r="B432" s="7"/>
      <c r="C432" s="7"/>
      <c r="D432" s="7"/>
      <c r="E432" s="7"/>
      <c r="F432" s="7"/>
      <c r="G432" s="7"/>
      <c r="H432" s="7"/>
      <c r="I432" s="7"/>
    </row>
    <row r="433" ht="12.75" customHeight="1">
      <c r="A433" s="7"/>
      <c r="B433" s="7"/>
      <c r="C433" s="7"/>
      <c r="D433" s="7"/>
      <c r="E433" s="7"/>
      <c r="F433" s="7"/>
      <c r="G433" s="7"/>
      <c r="H433" s="7"/>
      <c r="I433" s="7"/>
    </row>
    <row r="434" ht="12.75" customHeight="1">
      <c r="A434" s="7"/>
      <c r="B434" s="7"/>
      <c r="C434" s="7"/>
      <c r="D434" s="7"/>
      <c r="E434" s="7"/>
      <c r="F434" s="7"/>
      <c r="G434" s="7"/>
      <c r="H434" s="7"/>
      <c r="I434" s="7"/>
    </row>
    <row r="435" ht="12.75" customHeight="1">
      <c r="A435" s="7"/>
      <c r="B435" s="7"/>
      <c r="C435" s="7"/>
      <c r="D435" s="7"/>
      <c r="E435" s="7"/>
      <c r="F435" s="7"/>
      <c r="G435" s="7"/>
      <c r="H435" s="7"/>
      <c r="I435" s="7"/>
    </row>
    <row r="436" ht="12.75" customHeight="1">
      <c r="A436" s="7"/>
      <c r="B436" s="7"/>
      <c r="C436" s="7"/>
      <c r="D436" s="7"/>
      <c r="E436" s="7"/>
      <c r="F436" s="7"/>
      <c r="G436" s="7"/>
      <c r="H436" s="7"/>
      <c r="I436" s="7"/>
    </row>
    <row r="437" ht="12.75" customHeight="1">
      <c r="A437" s="7"/>
      <c r="B437" s="7"/>
      <c r="C437" s="7"/>
      <c r="D437" s="7"/>
      <c r="E437" s="7"/>
      <c r="F437" s="7"/>
      <c r="G437" s="7"/>
      <c r="H437" s="7"/>
      <c r="I437" s="7"/>
    </row>
    <row r="438" ht="12.75" customHeight="1">
      <c r="A438" s="7"/>
      <c r="B438" s="7"/>
      <c r="C438" s="7"/>
      <c r="D438" s="7"/>
      <c r="E438" s="7"/>
      <c r="F438" s="7"/>
      <c r="G438" s="7"/>
      <c r="H438" s="7"/>
      <c r="I438" s="7"/>
    </row>
    <row r="439" ht="12.75" customHeight="1">
      <c r="A439" s="7"/>
      <c r="B439" s="7"/>
      <c r="C439" s="7"/>
      <c r="D439" s="7"/>
      <c r="E439" s="7"/>
      <c r="F439" s="7"/>
      <c r="G439" s="7"/>
      <c r="H439" s="7"/>
      <c r="I439" s="7"/>
    </row>
    <row r="440" ht="12.75" customHeight="1">
      <c r="A440" s="7"/>
      <c r="B440" s="7"/>
      <c r="C440" s="7"/>
      <c r="D440" s="7"/>
      <c r="E440" s="7"/>
      <c r="F440" s="7"/>
      <c r="G440" s="7"/>
      <c r="H440" s="7"/>
      <c r="I440" s="7"/>
    </row>
    <row r="441" ht="12.75" customHeight="1">
      <c r="A441" s="7"/>
      <c r="B441" s="7"/>
      <c r="C441" s="7"/>
      <c r="D441" s="7"/>
      <c r="E441" s="7"/>
      <c r="F441" s="7"/>
      <c r="G441" s="7"/>
      <c r="H441" s="7"/>
      <c r="I441" s="7"/>
    </row>
    <row r="442" ht="12.75" customHeight="1">
      <c r="A442" s="7"/>
      <c r="B442" s="7"/>
      <c r="C442" s="7"/>
      <c r="D442" s="7"/>
      <c r="E442" s="7"/>
      <c r="F442" s="7"/>
      <c r="G442" s="7"/>
      <c r="H442" s="7"/>
      <c r="I442" s="7"/>
    </row>
    <row r="443" ht="12.75" customHeight="1">
      <c r="A443" s="7"/>
      <c r="B443" s="7"/>
      <c r="C443" s="7"/>
      <c r="D443" s="7"/>
      <c r="E443" s="7"/>
      <c r="F443" s="7"/>
      <c r="G443" s="7"/>
      <c r="H443" s="7"/>
      <c r="I443" s="7"/>
    </row>
    <row r="444" ht="12.75" customHeight="1">
      <c r="A444" s="7"/>
      <c r="B444" s="7"/>
      <c r="C444" s="7"/>
      <c r="D444" s="7"/>
      <c r="E444" s="7"/>
      <c r="F444" s="7"/>
      <c r="G444" s="7"/>
      <c r="H444" s="7"/>
      <c r="I444" s="7"/>
    </row>
    <row r="445" ht="12.75" customHeight="1">
      <c r="A445" s="7"/>
      <c r="B445" s="7"/>
      <c r="C445" s="7"/>
      <c r="D445" s="7"/>
      <c r="E445" s="7"/>
      <c r="F445" s="7"/>
      <c r="G445" s="7"/>
      <c r="H445" s="7"/>
      <c r="I445" s="7"/>
    </row>
    <row r="446" ht="12.75" customHeight="1">
      <c r="A446" s="7"/>
      <c r="B446" s="7"/>
      <c r="C446" s="7"/>
      <c r="D446" s="7"/>
      <c r="E446" s="7"/>
      <c r="F446" s="7"/>
      <c r="G446" s="7"/>
      <c r="H446" s="7"/>
      <c r="I446" s="7"/>
    </row>
    <row r="447" ht="12.75" customHeight="1">
      <c r="A447" s="7"/>
      <c r="B447" s="7"/>
      <c r="C447" s="7"/>
      <c r="D447" s="7"/>
      <c r="E447" s="7"/>
      <c r="F447" s="7"/>
      <c r="G447" s="7"/>
      <c r="H447" s="7"/>
      <c r="I447" s="7"/>
    </row>
    <row r="448" ht="12.75" customHeight="1">
      <c r="A448" s="7"/>
      <c r="B448" s="7"/>
      <c r="C448" s="7"/>
      <c r="D448" s="7"/>
      <c r="E448" s="7"/>
      <c r="F448" s="7"/>
      <c r="G448" s="7"/>
      <c r="H448" s="7"/>
      <c r="I448" s="7"/>
    </row>
    <row r="449" ht="12.75" customHeight="1">
      <c r="A449" s="7"/>
      <c r="B449" s="7"/>
      <c r="C449" s="7"/>
      <c r="D449" s="7"/>
      <c r="E449" s="7"/>
      <c r="F449" s="7"/>
      <c r="G449" s="7"/>
      <c r="H449" s="7"/>
      <c r="I449" s="7"/>
    </row>
    <row r="450" ht="12.75" customHeight="1">
      <c r="A450" s="7"/>
      <c r="B450" s="7"/>
      <c r="C450" s="7"/>
      <c r="D450" s="7"/>
      <c r="E450" s="7"/>
      <c r="F450" s="7"/>
      <c r="G450" s="7"/>
      <c r="H450" s="7"/>
      <c r="I450" s="7"/>
    </row>
    <row r="451" ht="12.75" customHeight="1">
      <c r="A451" s="7"/>
      <c r="B451" s="7"/>
      <c r="C451" s="7"/>
      <c r="D451" s="7"/>
      <c r="E451" s="7"/>
      <c r="F451" s="7"/>
      <c r="G451" s="7"/>
      <c r="H451" s="7"/>
      <c r="I451" s="7"/>
    </row>
    <row r="452" ht="12.75" customHeight="1">
      <c r="A452" s="7"/>
      <c r="B452" s="7"/>
      <c r="C452" s="7"/>
      <c r="D452" s="7"/>
      <c r="E452" s="7"/>
      <c r="F452" s="7"/>
      <c r="G452" s="7"/>
      <c r="H452" s="7"/>
      <c r="I452" s="7"/>
    </row>
    <row r="453" ht="12.75" customHeight="1">
      <c r="A453" s="7"/>
      <c r="B453" s="7"/>
      <c r="C453" s="7"/>
      <c r="D453" s="7"/>
      <c r="E453" s="7"/>
      <c r="F453" s="7"/>
      <c r="G453" s="7"/>
      <c r="H453" s="7"/>
      <c r="I453" s="7"/>
    </row>
    <row r="454" ht="12.75" customHeight="1">
      <c r="A454" s="7"/>
      <c r="B454" s="7"/>
      <c r="C454" s="7"/>
      <c r="D454" s="7"/>
      <c r="E454" s="7"/>
      <c r="F454" s="7"/>
      <c r="G454" s="7"/>
      <c r="H454" s="7"/>
      <c r="I454" s="7"/>
    </row>
    <row r="455" ht="12.75" customHeight="1">
      <c r="A455" s="7"/>
      <c r="B455" s="7"/>
      <c r="C455" s="7"/>
      <c r="D455" s="7"/>
      <c r="E455" s="7"/>
      <c r="F455" s="7"/>
      <c r="G455" s="7"/>
      <c r="H455" s="7"/>
      <c r="I455" s="7"/>
    </row>
    <row r="456" ht="12.75" customHeight="1">
      <c r="A456" s="7"/>
      <c r="B456" s="7"/>
      <c r="C456" s="7"/>
      <c r="D456" s="7"/>
      <c r="E456" s="7"/>
      <c r="F456" s="7"/>
      <c r="G456" s="7"/>
      <c r="H456" s="7"/>
      <c r="I456" s="7"/>
    </row>
    <row r="457" ht="12.75" customHeight="1">
      <c r="A457" s="7"/>
      <c r="B457" s="7"/>
      <c r="C457" s="7"/>
      <c r="D457" s="7"/>
      <c r="E457" s="7"/>
      <c r="F457" s="7"/>
      <c r="G457" s="7"/>
      <c r="H457" s="7"/>
      <c r="I457" s="7"/>
    </row>
    <row r="458" ht="12.75" customHeight="1">
      <c r="A458" s="7"/>
      <c r="B458" s="7"/>
      <c r="C458" s="7"/>
      <c r="D458" s="7"/>
      <c r="E458" s="7"/>
      <c r="F458" s="7"/>
      <c r="G458" s="7"/>
      <c r="H458" s="7"/>
      <c r="I458" s="7"/>
    </row>
    <row r="459" ht="12.75" customHeight="1">
      <c r="A459" s="7"/>
      <c r="B459" s="7"/>
      <c r="C459" s="7"/>
      <c r="D459" s="7"/>
      <c r="E459" s="7"/>
      <c r="F459" s="7"/>
      <c r="G459" s="7"/>
      <c r="H459" s="7"/>
      <c r="I459" s="7"/>
    </row>
    <row r="460" ht="12.75" customHeight="1">
      <c r="A460" s="7"/>
      <c r="B460" s="7"/>
      <c r="C460" s="7"/>
      <c r="D460" s="7"/>
      <c r="E460" s="7"/>
      <c r="F460" s="7"/>
      <c r="G460" s="7"/>
      <c r="H460" s="7"/>
      <c r="I460" s="7"/>
    </row>
    <row r="461" ht="12.75" customHeight="1">
      <c r="A461" s="7"/>
      <c r="B461" s="7"/>
      <c r="C461" s="7"/>
      <c r="D461" s="7"/>
      <c r="E461" s="7"/>
      <c r="F461" s="7"/>
      <c r="G461" s="7"/>
      <c r="H461" s="7"/>
      <c r="I461" s="7"/>
    </row>
    <row r="462" ht="12.75" customHeight="1">
      <c r="A462" s="7"/>
      <c r="B462" s="7"/>
      <c r="C462" s="7"/>
      <c r="D462" s="7"/>
      <c r="E462" s="7"/>
      <c r="F462" s="7"/>
      <c r="G462" s="7"/>
      <c r="H462" s="7"/>
      <c r="I462" s="7"/>
    </row>
    <row r="463" ht="12.75" customHeight="1">
      <c r="A463" s="7"/>
      <c r="B463" s="7"/>
      <c r="C463" s="7"/>
      <c r="D463" s="7"/>
      <c r="E463" s="7"/>
      <c r="F463" s="7"/>
      <c r="G463" s="7"/>
      <c r="H463" s="7"/>
      <c r="I463" s="7"/>
    </row>
    <row r="464" ht="12.75" customHeight="1">
      <c r="A464" s="7"/>
      <c r="B464" s="7"/>
      <c r="C464" s="7"/>
      <c r="D464" s="7"/>
      <c r="E464" s="7"/>
      <c r="F464" s="7"/>
      <c r="G464" s="7"/>
      <c r="H464" s="7"/>
      <c r="I464" s="7"/>
    </row>
    <row r="465" ht="12.75" customHeight="1">
      <c r="A465" s="7"/>
      <c r="B465" s="7"/>
      <c r="C465" s="7"/>
      <c r="D465" s="7"/>
      <c r="E465" s="7"/>
      <c r="F465" s="7"/>
      <c r="G465" s="7"/>
      <c r="H465" s="7"/>
      <c r="I465" s="7"/>
    </row>
    <row r="466" ht="12.75" customHeight="1">
      <c r="A466" s="7"/>
      <c r="B466" s="7"/>
      <c r="C466" s="7"/>
      <c r="D466" s="7"/>
      <c r="E466" s="7"/>
      <c r="F466" s="7"/>
      <c r="G466" s="7"/>
      <c r="H466" s="7"/>
      <c r="I466" s="7"/>
    </row>
    <row r="467" ht="12.75" customHeight="1">
      <c r="A467" s="7"/>
      <c r="B467" s="7"/>
      <c r="C467" s="7"/>
      <c r="D467" s="7"/>
      <c r="E467" s="7"/>
      <c r="F467" s="7"/>
      <c r="G467" s="7"/>
      <c r="H467" s="7"/>
      <c r="I467" s="7"/>
    </row>
    <row r="468" ht="12.75" customHeight="1">
      <c r="A468" s="7"/>
      <c r="B468" s="7"/>
      <c r="C468" s="7"/>
      <c r="D468" s="7"/>
      <c r="E468" s="7"/>
      <c r="F468" s="7"/>
      <c r="G468" s="7"/>
      <c r="H468" s="7"/>
      <c r="I468" s="7"/>
    </row>
    <row r="469" ht="12.75" customHeight="1">
      <c r="A469" s="7"/>
      <c r="B469" s="7"/>
      <c r="C469" s="7"/>
      <c r="D469" s="7"/>
      <c r="E469" s="7"/>
      <c r="F469" s="7"/>
      <c r="G469" s="7"/>
      <c r="H469" s="7"/>
      <c r="I469" s="7"/>
    </row>
    <row r="470" ht="12.75" customHeight="1">
      <c r="A470" s="7"/>
      <c r="B470" s="7"/>
      <c r="C470" s="7"/>
      <c r="D470" s="7"/>
      <c r="E470" s="7"/>
      <c r="F470" s="7"/>
      <c r="G470" s="7"/>
      <c r="H470" s="7"/>
      <c r="I470" s="7"/>
    </row>
    <row r="471" ht="12.75" customHeight="1">
      <c r="A471" s="7"/>
      <c r="B471" s="7"/>
      <c r="C471" s="7"/>
      <c r="D471" s="7"/>
      <c r="E471" s="7"/>
      <c r="F471" s="7"/>
      <c r="G471" s="7"/>
      <c r="H471" s="7"/>
      <c r="I471" s="7"/>
    </row>
    <row r="472" ht="12.75" customHeight="1">
      <c r="A472" s="7"/>
      <c r="B472" s="7"/>
      <c r="C472" s="7"/>
      <c r="D472" s="7"/>
      <c r="E472" s="7"/>
      <c r="F472" s="7"/>
      <c r="G472" s="7"/>
      <c r="H472" s="7"/>
      <c r="I472" s="7"/>
    </row>
    <row r="473" ht="12.75" customHeight="1">
      <c r="A473" s="7"/>
      <c r="B473" s="7"/>
      <c r="C473" s="7"/>
      <c r="D473" s="7"/>
      <c r="E473" s="7"/>
      <c r="F473" s="7"/>
      <c r="G473" s="7"/>
      <c r="H473" s="7"/>
      <c r="I473" s="7"/>
    </row>
    <row r="474" ht="12.75" customHeight="1">
      <c r="A474" s="7"/>
      <c r="B474" s="7"/>
      <c r="C474" s="7"/>
      <c r="D474" s="7"/>
      <c r="E474" s="7"/>
      <c r="F474" s="7"/>
      <c r="G474" s="7"/>
      <c r="H474" s="7"/>
      <c r="I474" s="7"/>
    </row>
    <row r="475" ht="12.75" customHeight="1">
      <c r="A475" s="7"/>
      <c r="B475" s="7"/>
      <c r="C475" s="7"/>
      <c r="D475" s="7"/>
      <c r="E475" s="7"/>
      <c r="F475" s="7"/>
      <c r="G475" s="7"/>
      <c r="H475" s="7"/>
      <c r="I475" s="7"/>
    </row>
    <row r="476" ht="12.75" customHeight="1">
      <c r="A476" s="7"/>
      <c r="B476" s="7"/>
      <c r="C476" s="7"/>
      <c r="D476" s="7"/>
      <c r="E476" s="7"/>
      <c r="F476" s="7"/>
      <c r="G476" s="7"/>
      <c r="H476" s="7"/>
      <c r="I476" s="7"/>
    </row>
    <row r="477" ht="12.75" customHeight="1">
      <c r="A477" s="7"/>
      <c r="B477" s="7"/>
      <c r="C477" s="7"/>
      <c r="D477" s="7"/>
      <c r="E477" s="7"/>
      <c r="F477" s="7"/>
      <c r="G477" s="7"/>
      <c r="H477" s="7"/>
      <c r="I477" s="7"/>
    </row>
    <row r="478" ht="12.75" customHeight="1">
      <c r="A478" s="7"/>
      <c r="B478" s="7"/>
      <c r="C478" s="7"/>
      <c r="D478" s="7"/>
      <c r="E478" s="7"/>
      <c r="F478" s="7"/>
      <c r="G478" s="7"/>
      <c r="H478" s="7"/>
      <c r="I478" s="7"/>
    </row>
    <row r="479" ht="12.75" customHeight="1">
      <c r="A479" s="7"/>
      <c r="B479" s="7"/>
      <c r="C479" s="7"/>
      <c r="D479" s="7"/>
      <c r="E479" s="7"/>
      <c r="F479" s="7"/>
      <c r="G479" s="7"/>
      <c r="H479" s="7"/>
      <c r="I479" s="7"/>
    </row>
    <row r="480" ht="12.75" customHeight="1">
      <c r="A480" s="7"/>
      <c r="B480" s="7"/>
      <c r="C480" s="7"/>
      <c r="D480" s="7"/>
      <c r="E480" s="7"/>
      <c r="F480" s="7"/>
      <c r="G480" s="7"/>
      <c r="H480" s="7"/>
      <c r="I480" s="7"/>
    </row>
    <row r="481" ht="12.75" customHeight="1">
      <c r="A481" s="7"/>
      <c r="B481" s="7"/>
      <c r="C481" s="7"/>
      <c r="D481" s="7"/>
      <c r="E481" s="7"/>
      <c r="F481" s="7"/>
      <c r="G481" s="7"/>
      <c r="H481" s="7"/>
      <c r="I481" s="7"/>
    </row>
    <row r="482" ht="12.75" customHeight="1">
      <c r="A482" s="7"/>
      <c r="B482" s="7"/>
      <c r="C482" s="7"/>
      <c r="D482" s="7"/>
      <c r="E482" s="7"/>
      <c r="F482" s="7"/>
      <c r="G482" s="7"/>
      <c r="H482" s="7"/>
      <c r="I482" s="7"/>
    </row>
    <row r="483" ht="12.75" customHeight="1">
      <c r="A483" s="7"/>
      <c r="B483" s="7"/>
      <c r="C483" s="7"/>
      <c r="D483" s="7"/>
      <c r="E483" s="7"/>
      <c r="F483" s="7"/>
      <c r="G483" s="7"/>
      <c r="H483" s="7"/>
      <c r="I483" s="7"/>
    </row>
    <row r="484" ht="12.75" customHeight="1">
      <c r="A484" s="7"/>
      <c r="B484" s="7"/>
      <c r="C484" s="7"/>
      <c r="D484" s="7"/>
      <c r="E484" s="7"/>
      <c r="F484" s="7"/>
      <c r="G484" s="7"/>
      <c r="H484" s="7"/>
      <c r="I484" s="7"/>
    </row>
    <row r="485" ht="12.75" customHeight="1">
      <c r="A485" s="7"/>
      <c r="B485" s="7"/>
      <c r="C485" s="7"/>
      <c r="D485" s="7"/>
      <c r="E485" s="7"/>
      <c r="F485" s="7"/>
      <c r="G485" s="7"/>
      <c r="H485" s="7"/>
      <c r="I485" s="7"/>
    </row>
    <row r="486" ht="12.75" customHeight="1">
      <c r="A486" s="7"/>
      <c r="B486" s="7"/>
      <c r="C486" s="7"/>
      <c r="D486" s="7"/>
      <c r="E486" s="7"/>
      <c r="F486" s="7"/>
      <c r="G486" s="7"/>
      <c r="H486" s="7"/>
      <c r="I486" s="7"/>
    </row>
    <row r="487" ht="12.75" customHeight="1">
      <c r="A487" s="7"/>
      <c r="B487" s="7"/>
      <c r="C487" s="7"/>
      <c r="D487" s="7"/>
      <c r="E487" s="7"/>
      <c r="F487" s="7"/>
      <c r="G487" s="7"/>
      <c r="H487" s="7"/>
      <c r="I487" s="7"/>
    </row>
    <row r="488" ht="12.75" customHeight="1">
      <c r="A488" s="7"/>
      <c r="B488" s="7"/>
      <c r="C488" s="7"/>
      <c r="D488" s="7"/>
      <c r="E488" s="7"/>
      <c r="F488" s="7"/>
      <c r="G488" s="7"/>
      <c r="H488" s="7"/>
      <c r="I488" s="7"/>
    </row>
    <row r="489" ht="12.75" customHeight="1">
      <c r="A489" s="7"/>
      <c r="B489" s="7"/>
      <c r="C489" s="7"/>
      <c r="D489" s="7"/>
      <c r="E489" s="7"/>
      <c r="F489" s="7"/>
      <c r="G489" s="7"/>
      <c r="H489" s="7"/>
      <c r="I489" s="7"/>
    </row>
    <row r="490" ht="12.75" customHeight="1">
      <c r="A490" s="7"/>
      <c r="B490" s="7"/>
      <c r="C490" s="7"/>
      <c r="D490" s="7"/>
      <c r="E490" s="7"/>
      <c r="F490" s="7"/>
      <c r="G490" s="7"/>
      <c r="H490" s="7"/>
      <c r="I490" s="7"/>
    </row>
    <row r="491" ht="12.75" customHeight="1">
      <c r="A491" s="7"/>
      <c r="B491" s="7"/>
      <c r="C491" s="7"/>
      <c r="D491" s="7"/>
      <c r="E491" s="7"/>
      <c r="F491" s="7"/>
      <c r="G491" s="7"/>
      <c r="H491" s="7"/>
      <c r="I491" s="7"/>
    </row>
    <row r="492" ht="12.75" customHeight="1">
      <c r="A492" s="7"/>
      <c r="B492" s="7"/>
      <c r="C492" s="7"/>
      <c r="D492" s="7"/>
      <c r="E492" s="7"/>
      <c r="F492" s="7"/>
      <c r="G492" s="7"/>
      <c r="H492" s="7"/>
      <c r="I492" s="7"/>
    </row>
    <row r="493" ht="12.75" customHeight="1">
      <c r="A493" s="7"/>
      <c r="B493" s="7"/>
      <c r="C493" s="7"/>
      <c r="D493" s="7"/>
      <c r="E493" s="7"/>
      <c r="F493" s="7"/>
      <c r="G493" s="7"/>
      <c r="H493" s="7"/>
      <c r="I493" s="7"/>
    </row>
    <row r="494" ht="12.75" customHeight="1">
      <c r="A494" s="7"/>
      <c r="B494" s="7"/>
      <c r="C494" s="7"/>
      <c r="D494" s="7"/>
      <c r="E494" s="7"/>
      <c r="F494" s="7"/>
      <c r="G494" s="7"/>
      <c r="H494" s="7"/>
      <c r="I494" s="7"/>
    </row>
    <row r="495" ht="12.75" customHeight="1">
      <c r="A495" s="7"/>
      <c r="B495" s="7"/>
      <c r="C495" s="7"/>
      <c r="D495" s="7"/>
      <c r="E495" s="7"/>
      <c r="F495" s="7"/>
      <c r="G495" s="7"/>
      <c r="H495" s="7"/>
      <c r="I495" s="7"/>
    </row>
    <row r="496" ht="12.75" customHeight="1">
      <c r="A496" s="7"/>
      <c r="B496" s="7"/>
      <c r="C496" s="7"/>
      <c r="D496" s="7"/>
      <c r="E496" s="7"/>
      <c r="F496" s="7"/>
      <c r="G496" s="7"/>
      <c r="H496" s="7"/>
      <c r="I496" s="7"/>
    </row>
    <row r="497" ht="12.75" customHeight="1">
      <c r="A497" s="7"/>
      <c r="B497" s="7"/>
      <c r="C497" s="7"/>
      <c r="D497" s="7"/>
      <c r="E497" s="7"/>
      <c r="F497" s="7"/>
      <c r="G497" s="7"/>
      <c r="H497" s="7"/>
      <c r="I497" s="7"/>
    </row>
    <row r="498" ht="12.75" customHeight="1">
      <c r="A498" s="7"/>
      <c r="B498" s="7"/>
      <c r="C498" s="7"/>
      <c r="D498" s="7"/>
      <c r="E498" s="7"/>
      <c r="F498" s="7"/>
      <c r="G498" s="7"/>
      <c r="H498" s="7"/>
      <c r="I498" s="7"/>
    </row>
    <row r="499" ht="12.75" customHeight="1">
      <c r="A499" s="7"/>
      <c r="B499" s="7"/>
      <c r="C499" s="7"/>
      <c r="D499" s="7"/>
      <c r="E499" s="7"/>
      <c r="F499" s="7"/>
      <c r="G499" s="7"/>
      <c r="H499" s="7"/>
      <c r="I499" s="7"/>
    </row>
    <row r="500" ht="12.75" customHeight="1">
      <c r="A500" s="7"/>
      <c r="B500" s="7"/>
      <c r="C500" s="7"/>
      <c r="D500" s="7"/>
      <c r="E500" s="7"/>
      <c r="F500" s="7"/>
      <c r="G500" s="7"/>
      <c r="H500" s="7"/>
      <c r="I500" s="7"/>
    </row>
    <row r="501" ht="12.75" customHeight="1">
      <c r="A501" s="7"/>
      <c r="B501" s="7"/>
      <c r="C501" s="7"/>
      <c r="D501" s="7"/>
      <c r="E501" s="7"/>
      <c r="F501" s="7"/>
      <c r="G501" s="7"/>
      <c r="H501" s="7"/>
      <c r="I501" s="7"/>
    </row>
    <row r="502" ht="12.75" customHeight="1">
      <c r="A502" s="7"/>
      <c r="B502" s="7"/>
      <c r="C502" s="7"/>
      <c r="D502" s="7"/>
      <c r="E502" s="7"/>
      <c r="F502" s="7"/>
      <c r="G502" s="7"/>
      <c r="H502" s="7"/>
      <c r="I502" s="7"/>
    </row>
    <row r="503" ht="12.75" customHeight="1">
      <c r="A503" s="7"/>
      <c r="B503" s="7"/>
      <c r="C503" s="7"/>
      <c r="D503" s="7"/>
      <c r="E503" s="7"/>
      <c r="F503" s="7"/>
      <c r="G503" s="7"/>
      <c r="H503" s="7"/>
      <c r="I503" s="7"/>
    </row>
    <row r="504" ht="12.75" customHeight="1">
      <c r="A504" s="7"/>
      <c r="B504" s="7"/>
      <c r="C504" s="7"/>
      <c r="D504" s="7"/>
      <c r="E504" s="7"/>
      <c r="F504" s="7"/>
      <c r="G504" s="7"/>
      <c r="H504" s="7"/>
      <c r="I504" s="7"/>
    </row>
    <row r="505" ht="12.75" customHeight="1">
      <c r="A505" s="7"/>
      <c r="B505" s="7"/>
      <c r="C505" s="7"/>
      <c r="D505" s="7"/>
      <c r="E505" s="7"/>
      <c r="F505" s="7"/>
      <c r="G505" s="7"/>
      <c r="H505" s="7"/>
      <c r="I505" s="7"/>
    </row>
    <row r="506" ht="12.75" customHeight="1">
      <c r="A506" s="7"/>
      <c r="B506" s="7"/>
      <c r="C506" s="7"/>
      <c r="D506" s="7"/>
      <c r="E506" s="7"/>
      <c r="F506" s="7"/>
      <c r="G506" s="7"/>
      <c r="H506" s="7"/>
      <c r="I506" s="7"/>
    </row>
    <row r="507" ht="12.75" customHeight="1">
      <c r="A507" s="7"/>
      <c r="B507" s="7"/>
      <c r="C507" s="7"/>
      <c r="D507" s="7"/>
      <c r="E507" s="7"/>
      <c r="F507" s="7"/>
      <c r="G507" s="7"/>
      <c r="H507" s="7"/>
      <c r="I507" s="7"/>
    </row>
    <row r="508" ht="12.75" customHeight="1">
      <c r="A508" s="7"/>
      <c r="B508" s="7"/>
      <c r="C508" s="7"/>
      <c r="D508" s="7"/>
      <c r="E508" s="7"/>
      <c r="F508" s="7"/>
      <c r="G508" s="7"/>
      <c r="H508" s="7"/>
      <c r="I508" s="7"/>
    </row>
    <row r="509" ht="12.75" customHeight="1">
      <c r="A509" s="7"/>
      <c r="B509" s="7"/>
      <c r="C509" s="7"/>
      <c r="D509" s="7"/>
      <c r="E509" s="7"/>
      <c r="F509" s="7"/>
      <c r="G509" s="7"/>
      <c r="H509" s="7"/>
      <c r="I509" s="7"/>
    </row>
    <row r="510" ht="12.75" customHeight="1">
      <c r="A510" s="7"/>
      <c r="B510" s="7"/>
      <c r="C510" s="7"/>
      <c r="D510" s="7"/>
      <c r="E510" s="7"/>
      <c r="F510" s="7"/>
      <c r="G510" s="7"/>
      <c r="H510" s="7"/>
      <c r="I510" s="7"/>
    </row>
    <row r="511" ht="12.75" customHeight="1">
      <c r="A511" s="7"/>
      <c r="B511" s="7"/>
      <c r="C511" s="7"/>
      <c r="D511" s="7"/>
      <c r="E511" s="7"/>
      <c r="F511" s="7"/>
      <c r="G511" s="7"/>
      <c r="H511" s="7"/>
      <c r="I511" s="7"/>
    </row>
    <row r="512" ht="12.75" customHeight="1">
      <c r="A512" s="7"/>
      <c r="B512" s="7"/>
      <c r="C512" s="7"/>
      <c r="D512" s="7"/>
      <c r="E512" s="7"/>
      <c r="F512" s="7"/>
      <c r="G512" s="7"/>
      <c r="H512" s="7"/>
      <c r="I512" s="7"/>
    </row>
    <row r="513" ht="12.75" customHeight="1">
      <c r="A513" s="7"/>
      <c r="B513" s="7"/>
      <c r="C513" s="7"/>
      <c r="D513" s="7"/>
      <c r="E513" s="7"/>
      <c r="F513" s="7"/>
      <c r="G513" s="7"/>
      <c r="H513" s="7"/>
      <c r="I513" s="7"/>
    </row>
    <row r="514" ht="12.75" customHeight="1">
      <c r="A514" s="7"/>
      <c r="B514" s="7"/>
      <c r="C514" s="7"/>
      <c r="D514" s="7"/>
      <c r="E514" s="7"/>
      <c r="F514" s="7"/>
      <c r="G514" s="7"/>
      <c r="H514" s="7"/>
      <c r="I514" s="7"/>
    </row>
    <row r="515" ht="12.75" customHeight="1">
      <c r="A515" s="7"/>
      <c r="B515" s="7"/>
      <c r="C515" s="7"/>
      <c r="D515" s="7"/>
      <c r="E515" s="7"/>
      <c r="F515" s="7"/>
      <c r="G515" s="7"/>
      <c r="H515" s="7"/>
      <c r="I515" s="7"/>
    </row>
    <row r="516" ht="12.75" customHeight="1">
      <c r="A516" s="7"/>
      <c r="B516" s="7"/>
      <c r="C516" s="7"/>
      <c r="D516" s="7"/>
      <c r="E516" s="7"/>
      <c r="F516" s="7"/>
      <c r="G516" s="7"/>
      <c r="H516" s="7"/>
      <c r="I516" s="7"/>
    </row>
    <row r="517" ht="12.75" customHeight="1">
      <c r="A517" s="7"/>
      <c r="B517" s="7"/>
      <c r="C517" s="7"/>
      <c r="D517" s="7"/>
      <c r="E517" s="7"/>
      <c r="F517" s="7"/>
      <c r="G517" s="7"/>
      <c r="H517" s="7"/>
      <c r="I517" s="7"/>
    </row>
    <row r="518" ht="12.75" customHeight="1">
      <c r="A518" s="7"/>
      <c r="B518" s="7"/>
      <c r="C518" s="7"/>
      <c r="D518" s="7"/>
      <c r="E518" s="7"/>
      <c r="F518" s="7"/>
      <c r="G518" s="7"/>
      <c r="H518" s="7"/>
      <c r="I518" s="7"/>
    </row>
    <row r="519" ht="12.75" customHeight="1">
      <c r="A519" s="7"/>
      <c r="B519" s="7"/>
      <c r="C519" s="7"/>
      <c r="D519" s="7"/>
      <c r="E519" s="7"/>
      <c r="F519" s="7"/>
      <c r="G519" s="7"/>
      <c r="H519" s="7"/>
      <c r="I519" s="7"/>
    </row>
    <row r="520" ht="12.75" customHeight="1">
      <c r="A520" s="7"/>
      <c r="B520" s="7"/>
      <c r="C520" s="7"/>
      <c r="D520" s="7"/>
      <c r="E520" s="7"/>
      <c r="F520" s="7"/>
      <c r="G520" s="7"/>
      <c r="H520" s="7"/>
      <c r="I520" s="7"/>
    </row>
    <row r="521" ht="12.75" customHeight="1">
      <c r="A521" s="7"/>
      <c r="B521" s="7"/>
      <c r="C521" s="7"/>
      <c r="D521" s="7"/>
      <c r="E521" s="7"/>
      <c r="F521" s="7"/>
      <c r="G521" s="7"/>
      <c r="H521" s="7"/>
      <c r="I521" s="7"/>
    </row>
    <row r="522" ht="12.75" customHeight="1">
      <c r="A522" s="7"/>
      <c r="B522" s="7"/>
      <c r="C522" s="7"/>
      <c r="D522" s="7"/>
      <c r="E522" s="7"/>
      <c r="F522" s="7"/>
      <c r="G522" s="7"/>
      <c r="H522" s="7"/>
      <c r="I522" s="7"/>
    </row>
    <row r="523" ht="12.75" customHeight="1">
      <c r="A523" s="7"/>
      <c r="B523" s="7"/>
      <c r="C523" s="7"/>
      <c r="D523" s="7"/>
      <c r="E523" s="7"/>
      <c r="F523" s="7"/>
      <c r="G523" s="7"/>
      <c r="H523" s="7"/>
      <c r="I523" s="7"/>
    </row>
    <row r="524" ht="12.75" customHeight="1">
      <c r="A524" s="7"/>
      <c r="B524" s="7"/>
      <c r="C524" s="7"/>
      <c r="D524" s="7"/>
      <c r="E524" s="7"/>
      <c r="F524" s="7"/>
      <c r="G524" s="7"/>
      <c r="H524" s="7"/>
      <c r="I524" s="7"/>
    </row>
    <row r="525" ht="12.75" customHeight="1">
      <c r="A525" s="7"/>
      <c r="B525" s="7"/>
      <c r="C525" s="7"/>
      <c r="D525" s="7"/>
      <c r="E525" s="7"/>
      <c r="F525" s="7"/>
      <c r="G525" s="7"/>
      <c r="H525" s="7"/>
      <c r="I525" s="7"/>
    </row>
    <row r="526" ht="12.75" customHeight="1">
      <c r="A526" s="7"/>
      <c r="B526" s="7"/>
      <c r="C526" s="7"/>
      <c r="D526" s="7"/>
      <c r="E526" s="7"/>
      <c r="F526" s="7"/>
      <c r="G526" s="7"/>
      <c r="H526" s="7"/>
      <c r="I526" s="7"/>
    </row>
    <row r="527" ht="12.75" customHeight="1">
      <c r="A527" s="7"/>
      <c r="B527" s="7"/>
      <c r="C527" s="7"/>
      <c r="D527" s="7"/>
      <c r="E527" s="7"/>
      <c r="F527" s="7"/>
      <c r="G527" s="7"/>
      <c r="H527" s="7"/>
      <c r="I527" s="7"/>
    </row>
    <row r="528" ht="12.75" customHeight="1">
      <c r="A528" s="7"/>
      <c r="B528" s="7"/>
      <c r="C528" s="7"/>
      <c r="D528" s="7"/>
      <c r="E528" s="7"/>
      <c r="F528" s="7"/>
      <c r="G528" s="7"/>
      <c r="H528" s="7"/>
      <c r="I528" s="7"/>
    </row>
    <row r="529" ht="12.75" customHeight="1">
      <c r="A529" s="7"/>
      <c r="B529" s="7"/>
      <c r="C529" s="7"/>
      <c r="D529" s="7"/>
      <c r="E529" s="7"/>
      <c r="F529" s="7"/>
      <c r="G529" s="7"/>
      <c r="H529" s="7"/>
      <c r="I529" s="7"/>
    </row>
    <row r="530" ht="12.75" customHeight="1">
      <c r="A530" s="7"/>
      <c r="B530" s="7"/>
      <c r="C530" s="7"/>
      <c r="D530" s="7"/>
      <c r="E530" s="7"/>
      <c r="F530" s="7"/>
      <c r="G530" s="7"/>
      <c r="H530" s="7"/>
      <c r="I530" s="7"/>
    </row>
    <row r="531" ht="12.75" customHeight="1">
      <c r="A531" s="7"/>
      <c r="B531" s="7"/>
      <c r="C531" s="7"/>
      <c r="D531" s="7"/>
      <c r="E531" s="7"/>
      <c r="F531" s="7"/>
      <c r="G531" s="7"/>
      <c r="H531" s="7"/>
      <c r="I531" s="7"/>
    </row>
    <row r="532" ht="12.75" customHeight="1">
      <c r="A532" s="7"/>
      <c r="B532" s="7"/>
      <c r="C532" s="7"/>
      <c r="D532" s="7"/>
      <c r="E532" s="7"/>
      <c r="F532" s="7"/>
      <c r="G532" s="7"/>
      <c r="H532" s="7"/>
      <c r="I532" s="7"/>
    </row>
    <row r="533" ht="12.75" customHeight="1">
      <c r="A533" s="7"/>
      <c r="B533" s="7"/>
      <c r="C533" s="7"/>
      <c r="D533" s="7"/>
      <c r="E533" s="7"/>
      <c r="F533" s="7"/>
      <c r="G533" s="7"/>
      <c r="H533" s="7"/>
      <c r="I533" s="7"/>
    </row>
    <row r="534" ht="12.75" customHeight="1">
      <c r="A534" s="7"/>
      <c r="B534" s="7"/>
      <c r="C534" s="7"/>
      <c r="D534" s="7"/>
      <c r="E534" s="7"/>
      <c r="F534" s="7"/>
      <c r="G534" s="7"/>
      <c r="H534" s="7"/>
      <c r="I534" s="7"/>
    </row>
    <row r="535" ht="12.75" customHeight="1">
      <c r="A535" s="7"/>
      <c r="B535" s="7"/>
      <c r="C535" s="7"/>
      <c r="D535" s="7"/>
      <c r="E535" s="7"/>
      <c r="F535" s="7"/>
      <c r="G535" s="7"/>
      <c r="H535" s="7"/>
      <c r="I535" s="7"/>
    </row>
    <row r="536" ht="12.75" customHeight="1">
      <c r="A536" s="7"/>
      <c r="B536" s="7"/>
      <c r="C536" s="7"/>
      <c r="D536" s="7"/>
      <c r="E536" s="7"/>
      <c r="F536" s="7"/>
      <c r="G536" s="7"/>
      <c r="H536" s="7"/>
      <c r="I536" s="7"/>
    </row>
    <row r="537" ht="12.75" customHeight="1">
      <c r="A537" s="7"/>
      <c r="B537" s="7"/>
      <c r="C537" s="7"/>
      <c r="D537" s="7"/>
      <c r="E537" s="7"/>
      <c r="F537" s="7"/>
      <c r="G537" s="7"/>
      <c r="H537" s="7"/>
      <c r="I537" s="7"/>
    </row>
    <row r="538" ht="12.75" customHeight="1">
      <c r="A538" s="7"/>
      <c r="B538" s="7"/>
      <c r="C538" s="7"/>
      <c r="D538" s="7"/>
      <c r="E538" s="7"/>
      <c r="F538" s="7"/>
      <c r="G538" s="7"/>
      <c r="H538" s="7"/>
      <c r="I538" s="7"/>
    </row>
    <row r="539" ht="12.75" customHeight="1">
      <c r="A539" s="7"/>
      <c r="B539" s="7"/>
      <c r="C539" s="7"/>
      <c r="D539" s="7"/>
      <c r="E539" s="7"/>
      <c r="F539" s="7"/>
      <c r="G539" s="7"/>
      <c r="H539" s="7"/>
      <c r="I539" s="7"/>
    </row>
    <row r="540" ht="12.75" customHeight="1">
      <c r="A540" s="7"/>
      <c r="B540" s="7"/>
      <c r="C540" s="7"/>
      <c r="D540" s="7"/>
      <c r="E540" s="7"/>
      <c r="F540" s="7"/>
      <c r="G540" s="7"/>
      <c r="H540" s="7"/>
      <c r="I540" s="7"/>
    </row>
    <row r="541" ht="12.75" customHeight="1">
      <c r="A541" s="7"/>
      <c r="B541" s="7"/>
      <c r="C541" s="7"/>
      <c r="D541" s="7"/>
      <c r="E541" s="7"/>
      <c r="F541" s="7"/>
      <c r="G541" s="7"/>
      <c r="H541" s="7"/>
      <c r="I541" s="7"/>
    </row>
    <row r="542" ht="12.75" customHeight="1">
      <c r="A542" s="7"/>
      <c r="B542" s="7"/>
      <c r="C542" s="7"/>
      <c r="D542" s="7"/>
      <c r="E542" s="7"/>
      <c r="F542" s="7"/>
      <c r="G542" s="7"/>
      <c r="H542" s="7"/>
      <c r="I542" s="7"/>
    </row>
    <row r="543" ht="12.75" customHeight="1">
      <c r="A543" s="7"/>
      <c r="B543" s="7"/>
      <c r="C543" s="7"/>
      <c r="D543" s="7"/>
      <c r="E543" s="7"/>
      <c r="F543" s="7"/>
      <c r="G543" s="7"/>
      <c r="H543" s="7"/>
      <c r="I543" s="7"/>
    </row>
    <row r="544" ht="12.75" customHeight="1">
      <c r="A544" s="7"/>
      <c r="B544" s="7"/>
      <c r="C544" s="7"/>
      <c r="D544" s="7"/>
      <c r="E544" s="7"/>
      <c r="F544" s="7"/>
      <c r="G544" s="7"/>
      <c r="H544" s="7"/>
      <c r="I544" s="7"/>
    </row>
    <row r="545" ht="12.75" customHeight="1">
      <c r="A545" s="7"/>
      <c r="B545" s="7"/>
      <c r="C545" s="7"/>
      <c r="D545" s="7"/>
      <c r="E545" s="7"/>
      <c r="F545" s="7"/>
      <c r="G545" s="7"/>
      <c r="H545" s="7"/>
      <c r="I545" s="7"/>
    </row>
    <row r="546" ht="12.75" customHeight="1">
      <c r="A546" s="7"/>
      <c r="B546" s="7"/>
      <c r="C546" s="7"/>
      <c r="D546" s="7"/>
      <c r="E546" s="7"/>
      <c r="F546" s="7"/>
      <c r="G546" s="7"/>
      <c r="H546" s="7"/>
      <c r="I546" s="7"/>
    </row>
    <row r="547" ht="12.75" customHeight="1">
      <c r="A547" s="7"/>
      <c r="B547" s="7"/>
      <c r="C547" s="7"/>
      <c r="D547" s="7"/>
      <c r="E547" s="7"/>
      <c r="F547" s="7"/>
      <c r="G547" s="7"/>
      <c r="H547" s="7"/>
      <c r="I547" s="7"/>
    </row>
    <row r="548" ht="12.75" customHeight="1">
      <c r="A548" s="7"/>
      <c r="B548" s="7"/>
      <c r="C548" s="7"/>
      <c r="D548" s="7"/>
      <c r="E548" s="7"/>
      <c r="F548" s="7"/>
      <c r="G548" s="7"/>
      <c r="H548" s="7"/>
      <c r="I548" s="7"/>
    </row>
    <row r="549" ht="12.75" customHeight="1">
      <c r="A549" s="7"/>
      <c r="B549" s="7"/>
      <c r="C549" s="7"/>
      <c r="D549" s="7"/>
      <c r="E549" s="7"/>
      <c r="F549" s="7"/>
      <c r="G549" s="7"/>
      <c r="H549" s="7"/>
      <c r="I549" s="7"/>
    </row>
    <row r="550" ht="12.75" customHeight="1">
      <c r="A550" s="7"/>
      <c r="B550" s="7"/>
      <c r="C550" s="7"/>
      <c r="D550" s="7"/>
      <c r="E550" s="7"/>
      <c r="F550" s="7"/>
      <c r="G550" s="7"/>
      <c r="H550" s="7"/>
      <c r="I550" s="7"/>
    </row>
    <row r="551" ht="12.75" customHeight="1">
      <c r="A551" s="7"/>
      <c r="B551" s="7"/>
      <c r="C551" s="7"/>
      <c r="D551" s="7"/>
      <c r="E551" s="7"/>
      <c r="F551" s="7"/>
      <c r="G551" s="7"/>
      <c r="H551" s="7"/>
      <c r="I551" s="7"/>
    </row>
    <row r="552" ht="12.75" customHeight="1">
      <c r="A552" s="7"/>
      <c r="B552" s="7"/>
      <c r="C552" s="7"/>
      <c r="D552" s="7"/>
      <c r="E552" s="7"/>
      <c r="F552" s="7"/>
      <c r="G552" s="7"/>
      <c r="H552" s="7"/>
      <c r="I552" s="7"/>
    </row>
    <row r="553" ht="12.75" customHeight="1">
      <c r="A553" s="7"/>
      <c r="B553" s="7"/>
      <c r="C553" s="7"/>
      <c r="D553" s="7"/>
      <c r="E553" s="7"/>
      <c r="F553" s="7"/>
      <c r="G553" s="7"/>
      <c r="H553" s="7"/>
      <c r="I553" s="7"/>
    </row>
    <row r="554" ht="12.75" customHeight="1">
      <c r="A554" s="7"/>
      <c r="B554" s="7"/>
      <c r="C554" s="7"/>
      <c r="D554" s="7"/>
      <c r="E554" s="7"/>
      <c r="F554" s="7"/>
      <c r="G554" s="7"/>
      <c r="H554" s="7"/>
      <c r="I554" s="7"/>
    </row>
    <row r="555" ht="12.75" customHeight="1">
      <c r="A555" s="7"/>
      <c r="B555" s="7"/>
      <c r="C555" s="7"/>
      <c r="D555" s="7"/>
      <c r="E555" s="7"/>
      <c r="F555" s="7"/>
      <c r="G555" s="7"/>
      <c r="H555" s="7"/>
      <c r="I555" s="7"/>
    </row>
    <row r="556" ht="12.75" customHeight="1">
      <c r="A556" s="7"/>
      <c r="B556" s="7"/>
      <c r="C556" s="7"/>
      <c r="D556" s="7"/>
      <c r="E556" s="7"/>
      <c r="F556" s="7"/>
      <c r="G556" s="7"/>
      <c r="H556" s="7"/>
      <c r="I556" s="7"/>
    </row>
    <row r="557" ht="12.75" customHeight="1">
      <c r="A557" s="7"/>
      <c r="B557" s="7"/>
      <c r="C557" s="7"/>
      <c r="D557" s="7"/>
      <c r="E557" s="7"/>
      <c r="F557" s="7"/>
      <c r="G557" s="7"/>
      <c r="H557" s="7"/>
      <c r="I557" s="7"/>
    </row>
    <row r="558" ht="12.75" customHeight="1">
      <c r="A558" s="7"/>
      <c r="B558" s="7"/>
      <c r="C558" s="7"/>
      <c r="D558" s="7"/>
      <c r="E558" s="7"/>
      <c r="F558" s="7"/>
      <c r="G558" s="7"/>
      <c r="H558" s="7"/>
      <c r="I558" s="7"/>
    </row>
    <row r="559" ht="12.75" customHeight="1">
      <c r="A559" s="7"/>
      <c r="B559" s="7"/>
      <c r="C559" s="7"/>
      <c r="D559" s="7"/>
      <c r="E559" s="7"/>
      <c r="F559" s="7"/>
      <c r="G559" s="7"/>
      <c r="H559" s="7"/>
      <c r="I559" s="7"/>
    </row>
    <row r="560" ht="12.75" customHeight="1">
      <c r="A560" s="7"/>
      <c r="B560" s="7"/>
      <c r="C560" s="7"/>
      <c r="D560" s="7"/>
      <c r="E560" s="7"/>
      <c r="F560" s="7"/>
      <c r="G560" s="7"/>
      <c r="H560" s="7"/>
      <c r="I560" s="7"/>
    </row>
    <row r="561" ht="12.75" customHeight="1">
      <c r="A561" s="7"/>
      <c r="B561" s="7"/>
      <c r="C561" s="7"/>
      <c r="D561" s="7"/>
      <c r="E561" s="7"/>
      <c r="F561" s="7"/>
      <c r="G561" s="7"/>
      <c r="H561" s="7"/>
      <c r="I561" s="7"/>
    </row>
    <row r="562" ht="12.75" customHeight="1">
      <c r="A562" s="7"/>
      <c r="B562" s="7"/>
      <c r="C562" s="7"/>
      <c r="D562" s="7"/>
      <c r="E562" s="7"/>
      <c r="F562" s="7"/>
      <c r="G562" s="7"/>
      <c r="H562" s="7"/>
      <c r="I562" s="7"/>
    </row>
    <row r="563" ht="12.75" customHeight="1">
      <c r="A563" s="7"/>
      <c r="B563" s="7"/>
      <c r="C563" s="7"/>
      <c r="D563" s="7"/>
      <c r="E563" s="7"/>
      <c r="F563" s="7"/>
      <c r="G563" s="7"/>
      <c r="H563" s="7"/>
      <c r="I563" s="7"/>
    </row>
    <row r="564" ht="12.75" customHeight="1">
      <c r="A564" s="7"/>
      <c r="B564" s="7"/>
      <c r="C564" s="7"/>
      <c r="D564" s="7"/>
      <c r="E564" s="7"/>
      <c r="F564" s="7"/>
      <c r="G564" s="7"/>
      <c r="H564" s="7"/>
      <c r="I564" s="7"/>
    </row>
    <row r="565" ht="12.75" customHeight="1">
      <c r="A565" s="7"/>
      <c r="B565" s="7"/>
      <c r="C565" s="7"/>
      <c r="D565" s="7"/>
      <c r="E565" s="7"/>
      <c r="F565" s="7"/>
      <c r="G565" s="7"/>
      <c r="H565" s="7"/>
      <c r="I565" s="7"/>
    </row>
    <row r="566" ht="12.75" customHeight="1">
      <c r="A566" s="7"/>
      <c r="B566" s="7"/>
      <c r="C566" s="7"/>
      <c r="D566" s="7"/>
      <c r="E566" s="7"/>
      <c r="F566" s="7"/>
      <c r="G566" s="7"/>
      <c r="H566" s="7"/>
      <c r="I566" s="7"/>
    </row>
    <row r="567" ht="12.75" customHeight="1">
      <c r="A567" s="7"/>
      <c r="B567" s="7"/>
      <c r="C567" s="7"/>
      <c r="D567" s="7"/>
      <c r="E567" s="7"/>
      <c r="F567" s="7"/>
      <c r="G567" s="7"/>
      <c r="H567" s="7"/>
      <c r="I567" s="7"/>
    </row>
    <row r="568" ht="12.75" customHeight="1">
      <c r="A568" s="7"/>
      <c r="B568" s="7"/>
      <c r="C568" s="7"/>
      <c r="D568" s="7"/>
      <c r="E568" s="7"/>
      <c r="F568" s="7"/>
      <c r="G568" s="7"/>
      <c r="H568" s="7"/>
      <c r="I568" s="7"/>
    </row>
    <row r="569" ht="12.75" customHeight="1">
      <c r="A569" s="7"/>
      <c r="B569" s="7"/>
      <c r="C569" s="7"/>
      <c r="D569" s="7"/>
      <c r="E569" s="7"/>
      <c r="F569" s="7"/>
      <c r="G569" s="7"/>
      <c r="H569" s="7"/>
      <c r="I569" s="7"/>
    </row>
    <row r="570" ht="12.75" customHeight="1">
      <c r="A570" s="7"/>
      <c r="B570" s="7"/>
      <c r="C570" s="7"/>
      <c r="D570" s="7"/>
      <c r="E570" s="7"/>
      <c r="F570" s="7"/>
      <c r="G570" s="7"/>
      <c r="H570" s="7"/>
      <c r="I570" s="7"/>
    </row>
    <row r="571" ht="12.75" customHeight="1">
      <c r="A571" s="7"/>
      <c r="B571" s="7"/>
      <c r="C571" s="7"/>
      <c r="D571" s="7"/>
      <c r="E571" s="7"/>
      <c r="F571" s="7"/>
      <c r="G571" s="7"/>
      <c r="H571" s="7"/>
      <c r="I571" s="7"/>
    </row>
    <row r="572" ht="12.75" customHeight="1">
      <c r="A572" s="7"/>
      <c r="B572" s="7"/>
      <c r="C572" s="7"/>
      <c r="D572" s="7"/>
      <c r="E572" s="7"/>
      <c r="F572" s="7"/>
      <c r="G572" s="7"/>
      <c r="H572" s="7"/>
      <c r="I572" s="7"/>
    </row>
    <row r="573" ht="12.75" customHeight="1">
      <c r="A573" s="7"/>
      <c r="B573" s="7"/>
      <c r="C573" s="7"/>
      <c r="D573" s="7"/>
      <c r="E573" s="7"/>
      <c r="F573" s="7"/>
      <c r="G573" s="7"/>
      <c r="H573" s="7"/>
      <c r="I573" s="7"/>
    </row>
    <row r="574" ht="12.75" customHeight="1">
      <c r="A574" s="7"/>
      <c r="B574" s="7"/>
      <c r="C574" s="7"/>
      <c r="D574" s="7"/>
      <c r="E574" s="7"/>
      <c r="F574" s="7"/>
      <c r="G574" s="7"/>
      <c r="H574" s="7"/>
      <c r="I574" s="7"/>
    </row>
    <row r="575" ht="12.75" customHeight="1">
      <c r="A575" s="7"/>
      <c r="B575" s="7"/>
      <c r="C575" s="7"/>
      <c r="D575" s="7"/>
      <c r="E575" s="7"/>
      <c r="F575" s="7"/>
      <c r="G575" s="7"/>
      <c r="H575" s="7"/>
      <c r="I575" s="7"/>
    </row>
    <row r="576" ht="12.75" customHeight="1">
      <c r="A576" s="7"/>
      <c r="B576" s="7"/>
      <c r="C576" s="7"/>
      <c r="D576" s="7"/>
      <c r="E576" s="7"/>
      <c r="F576" s="7"/>
      <c r="G576" s="7"/>
      <c r="H576" s="7"/>
      <c r="I576" s="7"/>
    </row>
    <row r="577" ht="12.75" customHeight="1">
      <c r="A577" s="7"/>
      <c r="B577" s="7"/>
      <c r="C577" s="7"/>
      <c r="D577" s="7"/>
      <c r="E577" s="7"/>
      <c r="F577" s="7"/>
      <c r="G577" s="7"/>
      <c r="H577" s="7"/>
      <c r="I577" s="7"/>
    </row>
    <row r="578" ht="12.75" customHeight="1">
      <c r="A578" s="7"/>
      <c r="B578" s="7"/>
      <c r="C578" s="7"/>
      <c r="D578" s="7"/>
      <c r="E578" s="7"/>
      <c r="F578" s="7"/>
      <c r="G578" s="7"/>
      <c r="H578" s="7"/>
      <c r="I578" s="7"/>
    </row>
    <row r="579" ht="12.75" customHeight="1">
      <c r="A579" s="7"/>
      <c r="B579" s="7"/>
      <c r="C579" s="7"/>
      <c r="D579" s="7"/>
      <c r="E579" s="7"/>
      <c r="F579" s="7"/>
      <c r="G579" s="7"/>
      <c r="H579" s="7"/>
      <c r="I579" s="7"/>
    </row>
    <row r="580" ht="12.75" customHeight="1">
      <c r="A580" s="7"/>
      <c r="B580" s="7"/>
      <c r="C580" s="7"/>
      <c r="D580" s="7"/>
      <c r="E580" s="7"/>
      <c r="F580" s="7"/>
      <c r="G580" s="7"/>
      <c r="H580" s="7"/>
      <c r="I580" s="7"/>
    </row>
    <row r="581" ht="12.75" customHeight="1">
      <c r="A581" s="7"/>
      <c r="B581" s="7"/>
      <c r="C581" s="7"/>
      <c r="D581" s="7"/>
      <c r="E581" s="7"/>
      <c r="F581" s="7"/>
      <c r="G581" s="7"/>
      <c r="H581" s="7"/>
      <c r="I581" s="7"/>
    </row>
    <row r="582" ht="12.75" customHeight="1">
      <c r="A582" s="7"/>
      <c r="B582" s="7"/>
      <c r="C582" s="7"/>
      <c r="D582" s="7"/>
      <c r="E582" s="7"/>
      <c r="F582" s="7"/>
      <c r="G582" s="7"/>
      <c r="H582" s="7"/>
      <c r="I582" s="7"/>
    </row>
    <row r="583" ht="12.75" customHeight="1">
      <c r="A583" s="7"/>
      <c r="B583" s="7"/>
      <c r="C583" s="7"/>
      <c r="D583" s="7"/>
      <c r="E583" s="7"/>
      <c r="F583" s="7"/>
      <c r="G583" s="7"/>
      <c r="H583" s="7"/>
      <c r="I583" s="7"/>
    </row>
    <row r="584" ht="12.75" customHeight="1">
      <c r="A584" s="7"/>
      <c r="B584" s="7"/>
      <c r="C584" s="7"/>
      <c r="D584" s="7"/>
      <c r="E584" s="7"/>
      <c r="F584" s="7"/>
      <c r="G584" s="7"/>
      <c r="H584" s="7"/>
      <c r="I584" s="7"/>
    </row>
    <row r="585" ht="12.75" customHeight="1">
      <c r="A585" s="7"/>
      <c r="B585" s="7"/>
      <c r="C585" s="7"/>
      <c r="D585" s="7"/>
      <c r="E585" s="7"/>
      <c r="F585" s="7"/>
      <c r="G585" s="7"/>
      <c r="H585" s="7"/>
      <c r="I585" s="7"/>
    </row>
    <row r="586" ht="12.75" customHeight="1">
      <c r="A586" s="7"/>
      <c r="B586" s="7"/>
      <c r="C586" s="7"/>
      <c r="D586" s="7"/>
      <c r="E586" s="7"/>
      <c r="F586" s="7"/>
      <c r="G586" s="7"/>
      <c r="H586" s="7"/>
      <c r="I586" s="7"/>
    </row>
    <row r="587" ht="12.75" customHeight="1">
      <c r="A587" s="7"/>
      <c r="B587" s="7"/>
      <c r="C587" s="7"/>
      <c r="D587" s="7"/>
      <c r="E587" s="7"/>
      <c r="F587" s="7"/>
      <c r="G587" s="7"/>
      <c r="H587" s="7"/>
      <c r="I587" s="7"/>
    </row>
    <row r="588" ht="12.75" customHeight="1">
      <c r="A588" s="7"/>
      <c r="B588" s="7"/>
      <c r="C588" s="7"/>
      <c r="D588" s="7"/>
      <c r="E588" s="7"/>
      <c r="F588" s="7"/>
      <c r="G588" s="7"/>
      <c r="H588" s="7"/>
      <c r="I588" s="7"/>
    </row>
    <row r="589" ht="12.75" customHeight="1">
      <c r="A589" s="7"/>
      <c r="B589" s="7"/>
      <c r="C589" s="7"/>
      <c r="D589" s="7"/>
      <c r="E589" s="7"/>
      <c r="F589" s="7"/>
      <c r="G589" s="7"/>
      <c r="H589" s="7"/>
      <c r="I589" s="7"/>
    </row>
    <row r="590" ht="12.75" customHeight="1">
      <c r="A590" s="7"/>
      <c r="B590" s="7"/>
      <c r="C590" s="7"/>
      <c r="D590" s="7"/>
      <c r="E590" s="7"/>
      <c r="F590" s="7"/>
      <c r="G590" s="7"/>
      <c r="H590" s="7"/>
      <c r="I590" s="7"/>
    </row>
    <row r="591" ht="12.75" customHeight="1">
      <c r="A591" s="7"/>
      <c r="B591" s="7"/>
      <c r="C591" s="7"/>
      <c r="D591" s="7"/>
      <c r="E591" s="7"/>
      <c r="F591" s="7"/>
      <c r="G591" s="7"/>
      <c r="H591" s="7"/>
      <c r="I591" s="7"/>
    </row>
    <row r="592" ht="12.75" customHeight="1">
      <c r="A592" s="7"/>
      <c r="B592" s="7"/>
      <c r="C592" s="7"/>
      <c r="D592" s="7"/>
      <c r="E592" s="7"/>
      <c r="F592" s="7"/>
      <c r="G592" s="7"/>
      <c r="H592" s="7"/>
      <c r="I592" s="7"/>
    </row>
    <row r="593" ht="12.75" customHeight="1">
      <c r="A593" s="7"/>
      <c r="B593" s="7"/>
      <c r="C593" s="7"/>
      <c r="D593" s="7"/>
      <c r="E593" s="7"/>
      <c r="F593" s="7"/>
      <c r="G593" s="7"/>
      <c r="H593" s="7"/>
      <c r="I593" s="7"/>
    </row>
    <row r="594" ht="12.75" customHeight="1">
      <c r="A594" s="7"/>
      <c r="B594" s="7"/>
      <c r="C594" s="7"/>
      <c r="D594" s="7"/>
      <c r="E594" s="7"/>
      <c r="F594" s="7"/>
      <c r="G594" s="7"/>
      <c r="H594" s="7"/>
      <c r="I594" s="7"/>
    </row>
    <row r="595" ht="12.75" customHeight="1">
      <c r="A595" s="7"/>
      <c r="B595" s="7"/>
      <c r="C595" s="7"/>
      <c r="D595" s="7"/>
      <c r="E595" s="7"/>
      <c r="F595" s="7"/>
      <c r="G595" s="7"/>
      <c r="H595" s="7"/>
      <c r="I595" s="7"/>
    </row>
    <row r="596" ht="12.75" customHeight="1">
      <c r="A596" s="7"/>
      <c r="B596" s="7"/>
      <c r="C596" s="7"/>
      <c r="D596" s="7"/>
      <c r="E596" s="7"/>
      <c r="F596" s="7"/>
      <c r="G596" s="7"/>
      <c r="H596" s="7"/>
      <c r="I596" s="7"/>
    </row>
    <row r="597" ht="12.75" customHeight="1">
      <c r="A597" s="7"/>
      <c r="B597" s="7"/>
      <c r="C597" s="7"/>
      <c r="D597" s="7"/>
      <c r="E597" s="7"/>
      <c r="F597" s="7"/>
      <c r="G597" s="7"/>
      <c r="H597" s="7"/>
      <c r="I597" s="7"/>
    </row>
    <row r="598" ht="12.75" customHeight="1">
      <c r="A598" s="7"/>
      <c r="B598" s="7"/>
      <c r="C598" s="7"/>
      <c r="D598" s="7"/>
      <c r="E598" s="7"/>
      <c r="F598" s="7"/>
      <c r="G598" s="7"/>
      <c r="H598" s="7"/>
      <c r="I598" s="7"/>
    </row>
    <row r="599" ht="12.75" customHeight="1">
      <c r="A599" s="7"/>
      <c r="B599" s="7"/>
      <c r="C599" s="7"/>
      <c r="D599" s="7"/>
      <c r="E599" s="7"/>
      <c r="F599" s="7"/>
      <c r="G599" s="7"/>
      <c r="H599" s="7"/>
      <c r="I599" s="7"/>
    </row>
    <row r="600" ht="12.75" customHeight="1">
      <c r="A600" s="7"/>
      <c r="B600" s="7"/>
      <c r="C600" s="7"/>
      <c r="D600" s="7"/>
      <c r="E600" s="7"/>
      <c r="F600" s="7"/>
      <c r="G600" s="7"/>
      <c r="H600" s="7"/>
      <c r="I600" s="7"/>
    </row>
    <row r="601" ht="12.75" customHeight="1">
      <c r="A601" s="7"/>
      <c r="B601" s="7"/>
      <c r="C601" s="7"/>
      <c r="D601" s="7"/>
      <c r="E601" s="7"/>
      <c r="F601" s="7"/>
      <c r="G601" s="7"/>
      <c r="H601" s="7"/>
      <c r="I601" s="7"/>
    </row>
    <row r="602" ht="12.75" customHeight="1">
      <c r="A602" s="7"/>
      <c r="B602" s="7"/>
      <c r="C602" s="7"/>
      <c r="D602" s="7"/>
      <c r="E602" s="7"/>
      <c r="F602" s="7"/>
      <c r="G602" s="7"/>
      <c r="H602" s="7"/>
      <c r="I602" s="7"/>
    </row>
    <row r="603" ht="12.75" customHeight="1">
      <c r="A603" s="7"/>
      <c r="B603" s="7"/>
      <c r="C603" s="7"/>
      <c r="D603" s="7"/>
      <c r="E603" s="7"/>
      <c r="F603" s="7"/>
      <c r="G603" s="7"/>
      <c r="H603" s="7"/>
      <c r="I603" s="7"/>
    </row>
    <row r="604" ht="12.75" customHeight="1">
      <c r="A604" s="7"/>
      <c r="B604" s="7"/>
      <c r="C604" s="7"/>
      <c r="D604" s="7"/>
      <c r="E604" s="7"/>
      <c r="F604" s="7"/>
      <c r="G604" s="7"/>
      <c r="H604" s="7"/>
      <c r="I604" s="7"/>
    </row>
    <row r="605" ht="12.75" customHeight="1">
      <c r="A605" s="7"/>
      <c r="B605" s="7"/>
      <c r="C605" s="7"/>
      <c r="D605" s="7"/>
      <c r="E605" s="7"/>
      <c r="F605" s="7"/>
      <c r="G605" s="7"/>
      <c r="H605" s="7"/>
      <c r="I605" s="7"/>
    </row>
    <row r="606" ht="12.75" customHeight="1">
      <c r="A606" s="7"/>
      <c r="B606" s="7"/>
      <c r="C606" s="7"/>
      <c r="D606" s="7"/>
      <c r="E606" s="7"/>
      <c r="F606" s="7"/>
      <c r="G606" s="7"/>
      <c r="H606" s="7"/>
      <c r="I606" s="7"/>
    </row>
    <row r="607" ht="12.75" customHeight="1">
      <c r="A607" s="7"/>
      <c r="B607" s="7"/>
      <c r="C607" s="7"/>
      <c r="D607" s="7"/>
      <c r="E607" s="7"/>
      <c r="F607" s="7"/>
      <c r="G607" s="7"/>
      <c r="H607" s="7"/>
      <c r="I607" s="7"/>
    </row>
    <row r="608" ht="12.75" customHeight="1">
      <c r="A608" s="7"/>
      <c r="B608" s="7"/>
      <c r="C608" s="7"/>
      <c r="D608" s="7"/>
      <c r="E608" s="7"/>
      <c r="F608" s="7"/>
      <c r="G608" s="7"/>
      <c r="H608" s="7"/>
      <c r="I608" s="7"/>
    </row>
    <row r="609" ht="12.75" customHeight="1">
      <c r="A609" s="7"/>
      <c r="B609" s="7"/>
      <c r="C609" s="7"/>
      <c r="D609" s="7"/>
      <c r="E609" s="7"/>
      <c r="F609" s="7"/>
      <c r="G609" s="7"/>
      <c r="H609" s="7"/>
      <c r="I609" s="7"/>
    </row>
    <row r="610" ht="12.75" customHeight="1">
      <c r="A610" s="7"/>
      <c r="B610" s="7"/>
      <c r="C610" s="7"/>
      <c r="D610" s="7"/>
      <c r="E610" s="7"/>
      <c r="F610" s="7"/>
      <c r="G610" s="7"/>
      <c r="H610" s="7"/>
      <c r="I610" s="7"/>
    </row>
    <row r="611" ht="12.75" customHeight="1">
      <c r="A611" s="7"/>
      <c r="B611" s="7"/>
      <c r="C611" s="7"/>
      <c r="D611" s="7"/>
      <c r="E611" s="7"/>
      <c r="F611" s="7"/>
      <c r="G611" s="7"/>
      <c r="H611" s="7"/>
      <c r="I611" s="7"/>
    </row>
    <row r="612" ht="12.75" customHeight="1">
      <c r="A612" s="7"/>
      <c r="B612" s="7"/>
      <c r="C612" s="7"/>
      <c r="D612" s="7"/>
      <c r="E612" s="7"/>
      <c r="F612" s="7"/>
      <c r="G612" s="7"/>
      <c r="H612" s="7"/>
      <c r="I612" s="7"/>
    </row>
    <row r="613" ht="12.75" customHeight="1">
      <c r="A613" s="7"/>
      <c r="B613" s="7"/>
      <c r="C613" s="7"/>
      <c r="D613" s="7"/>
      <c r="E613" s="7"/>
      <c r="F613" s="7"/>
      <c r="G613" s="7"/>
      <c r="H613" s="7"/>
      <c r="I613" s="7"/>
    </row>
    <row r="614" ht="12.75" customHeight="1">
      <c r="A614" s="7"/>
      <c r="B614" s="7"/>
      <c r="C614" s="7"/>
      <c r="D614" s="7"/>
      <c r="E614" s="7"/>
      <c r="F614" s="7"/>
      <c r="G614" s="7"/>
      <c r="H614" s="7"/>
      <c r="I614" s="7"/>
    </row>
    <row r="615" ht="12.75" customHeight="1">
      <c r="A615" s="7"/>
      <c r="B615" s="7"/>
      <c r="C615" s="7"/>
      <c r="D615" s="7"/>
      <c r="E615" s="7"/>
      <c r="F615" s="7"/>
      <c r="G615" s="7"/>
      <c r="H615" s="7"/>
      <c r="I615" s="7"/>
    </row>
    <row r="616" ht="12.75" customHeight="1">
      <c r="A616" s="7"/>
      <c r="B616" s="7"/>
      <c r="C616" s="7"/>
      <c r="D616" s="7"/>
      <c r="E616" s="7"/>
      <c r="F616" s="7"/>
      <c r="G616" s="7"/>
      <c r="H616" s="7"/>
      <c r="I616" s="7"/>
    </row>
    <row r="617" ht="12.75" customHeight="1">
      <c r="A617" s="7"/>
      <c r="B617" s="7"/>
      <c r="C617" s="7"/>
      <c r="D617" s="7"/>
      <c r="E617" s="7"/>
      <c r="F617" s="7"/>
      <c r="G617" s="7"/>
      <c r="H617" s="7"/>
      <c r="I617" s="7"/>
    </row>
    <row r="618" ht="12.75" customHeight="1">
      <c r="A618" s="7"/>
      <c r="B618" s="7"/>
      <c r="C618" s="7"/>
      <c r="D618" s="7"/>
      <c r="E618" s="7"/>
      <c r="F618" s="7"/>
      <c r="G618" s="7"/>
      <c r="H618" s="7"/>
      <c r="I618" s="7"/>
    </row>
    <row r="619" ht="12.75" customHeight="1">
      <c r="A619" s="7"/>
      <c r="B619" s="7"/>
      <c r="C619" s="7"/>
      <c r="D619" s="7"/>
      <c r="E619" s="7"/>
      <c r="F619" s="7"/>
      <c r="G619" s="7"/>
      <c r="H619" s="7"/>
      <c r="I619" s="7"/>
    </row>
    <row r="620" ht="12.75" customHeight="1">
      <c r="A620" s="7"/>
      <c r="B620" s="7"/>
      <c r="C620" s="7"/>
      <c r="D620" s="7"/>
      <c r="E620" s="7"/>
      <c r="F620" s="7"/>
      <c r="G620" s="7"/>
      <c r="H620" s="7"/>
      <c r="I620" s="7"/>
    </row>
    <row r="621" ht="12.75" customHeight="1">
      <c r="A621" s="7"/>
      <c r="B621" s="7"/>
      <c r="C621" s="7"/>
      <c r="D621" s="7"/>
      <c r="E621" s="7"/>
      <c r="F621" s="7"/>
      <c r="G621" s="7"/>
      <c r="H621" s="7"/>
      <c r="I621" s="7"/>
    </row>
    <row r="622" ht="12.75" customHeight="1">
      <c r="A622" s="7"/>
      <c r="B622" s="7"/>
      <c r="C622" s="7"/>
      <c r="D622" s="7"/>
      <c r="E622" s="7"/>
      <c r="F622" s="7"/>
      <c r="G622" s="7"/>
      <c r="H622" s="7"/>
      <c r="I622" s="7"/>
    </row>
    <row r="623" ht="12.75" customHeight="1">
      <c r="A623" s="7"/>
      <c r="B623" s="7"/>
      <c r="C623" s="7"/>
      <c r="D623" s="7"/>
      <c r="E623" s="7"/>
      <c r="F623" s="7"/>
      <c r="G623" s="7"/>
      <c r="H623" s="7"/>
      <c r="I623" s="7"/>
    </row>
    <row r="624" ht="12.75" customHeight="1">
      <c r="A624" s="7"/>
      <c r="B624" s="7"/>
      <c r="C624" s="7"/>
      <c r="D624" s="7"/>
      <c r="E624" s="7"/>
      <c r="F624" s="7"/>
      <c r="G624" s="7"/>
      <c r="H624" s="7"/>
      <c r="I624" s="7"/>
    </row>
    <row r="625" ht="12.75" customHeight="1">
      <c r="A625" s="7"/>
      <c r="B625" s="7"/>
      <c r="C625" s="7"/>
      <c r="D625" s="7"/>
      <c r="E625" s="7"/>
      <c r="F625" s="7"/>
      <c r="G625" s="7"/>
      <c r="H625" s="7"/>
      <c r="I625" s="7"/>
    </row>
    <row r="626" ht="12.75" customHeight="1">
      <c r="A626" s="7"/>
      <c r="B626" s="7"/>
      <c r="C626" s="7"/>
      <c r="D626" s="7"/>
      <c r="E626" s="7"/>
      <c r="F626" s="7"/>
      <c r="G626" s="7"/>
      <c r="H626" s="7"/>
      <c r="I626" s="7"/>
    </row>
    <row r="627" ht="12.75" customHeight="1">
      <c r="A627" s="7"/>
      <c r="B627" s="7"/>
      <c r="C627" s="7"/>
      <c r="D627" s="7"/>
      <c r="E627" s="7"/>
      <c r="F627" s="7"/>
      <c r="G627" s="7"/>
      <c r="H627" s="7"/>
      <c r="I627" s="7"/>
    </row>
    <row r="628" ht="12.75" customHeight="1">
      <c r="A628" s="7"/>
      <c r="B628" s="7"/>
      <c r="C628" s="7"/>
      <c r="D628" s="7"/>
      <c r="E628" s="7"/>
      <c r="F628" s="7"/>
      <c r="G628" s="7"/>
      <c r="H628" s="7"/>
      <c r="I628" s="7"/>
    </row>
    <row r="629" ht="12.75" customHeight="1">
      <c r="A629" s="7"/>
      <c r="B629" s="7"/>
      <c r="C629" s="7"/>
      <c r="D629" s="7"/>
      <c r="E629" s="7"/>
      <c r="F629" s="7"/>
      <c r="G629" s="7"/>
      <c r="H629" s="7"/>
      <c r="I629" s="7"/>
    </row>
    <row r="630" ht="12.75" customHeight="1">
      <c r="A630" s="7"/>
      <c r="B630" s="7"/>
      <c r="C630" s="7"/>
      <c r="D630" s="7"/>
      <c r="E630" s="7"/>
      <c r="F630" s="7"/>
      <c r="G630" s="7"/>
      <c r="H630" s="7"/>
      <c r="I630" s="7"/>
    </row>
    <row r="631" ht="12.75" customHeight="1">
      <c r="A631" s="7"/>
      <c r="B631" s="7"/>
      <c r="C631" s="7"/>
      <c r="D631" s="7"/>
      <c r="E631" s="7"/>
      <c r="F631" s="7"/>
      <c r="G631" s="7"/>
      <c r="H631" s="7"/>
      <c r="I631" s="7"/>
    </row>
    <row r="632" ht="12.75" customHeight="1">
      <c r="A632" s="7"/>
      <c r="B632" s="7"/>
      <c r="C632" s="7"/>
      <c r="D632" s="7"/>
      <c r="E632" s="7"/>
      <c r="F632" s="7"/>
      <c r="G632" s="7"/>
      <c r="H632" s="7"/>
      <c r="I632" s="7"/>
    </row>
    <row r="633" ht="12.75" customHeight="1">
      <c r="A633" s="7"/>
      <c r="B633" s="7"/>
      <c r="C633" s="7"/>
      <c r="D633" s="7"/>
      <c r="E633" s="7"/>
      <c r="F633" s="7"/>
      <c r="G633" s="7"/>
      <c r="H633" s="7"/>
      <c r="I633" s="7"/>
    </row>
    <row r="634" ht="12.75" customHeight="1">
      <c r="A634" s="7"/>
      <c r="B634" s="7"/>
      <c r="C634" s="7"/>
      <c r="D634" s="7"/>
      <c r="E634" s="7"/>
      <c r="F634" s="7"/>
      <c r="G634" s="7"/>
      <c r="H634" s="7"/>
      <c r="I634" s="7"/>
    </row>
    <row r="635" ht="12.75" customHeight="1">
      <c r="A635" s="7"/>
      <c r="B635" s="7"/>
      <c r="C635" s="7"/>
      <c r="D635" s="7"/>
      <c r="E635" s="7"/>
      <c r="F635" s="7"/>
      <c r="G635" s="7"/>
      <c r="H635" s="7"/>
      <c r="I635" s="7"/>
    </row>
    <row r="636" ht="12.75" customHeight="1">
      <c r="A636" s="7"/>
      <c r="B636" s="7"/>
      <c r="C636" s="7"/>
      <c r="D636" s="7"/>
      <c r="E636" s="7"/>
      <c r="F636" s="7"/>
      <c r="G636" s="7"/>
      <c r="H636" s="7"/>
      <c r="I636" s="7"/>
    </row>
    <row r="637" ht="12.75" customHeight="1">
      <c r="A637" s="7"/>
      <c r="B637" s="7"/>
      <c r="C637" s="7"/>
      <c r="D637" s="7"/>
      <c r="E637" s="7"/>
      <c r="F637" s="7"/>
      <c r="G637" s="7"/>
      <c r="H637" s="7"/>
      <c r="I637" s="7"/>
    </row>
    <row r="638" ht="12.75" customHeight="1">
      <c r="A638" s="7"/>
      <c r="B638" s="7"/>
      <c r="C638" s="7"/>
      <c r="D638" s="7"/>
      <c r="E638" s="7"/>
      <c r="F638" s="7"/>
      <c r="G638" s="7"/>
      <c r="H638" s="7"/>
      <c r="I638" s="7"/>
    </row>
    <row r="639" ht="12.75" customHeight="1">
      <c r="A639" s="7"/>
      <c r="B639" s="7"/>
      <c r="C639" s="7"/>
      <c r="D639" s="7"/>
      <c r="E639" s="7"/>
      <c r="F639" s="7"/>
      <c r="G639" s="7"/>
      <c r="H639" s="7"/>
      <c r="I639" s="7"/>
    </row>
    <row r="640" ht="12.75" customHeight="1">
      <c r="A640" s="7"/>
      <c r="B640" s="7"/>
      <c r="C640" s="7"/>
      <c r="D640" s="7"/>
      <c r="E640" s="7"/>
      <c r="F640" s="7"/>
      <c r="G640" s="7"/>
      <c r="H640" s="7"/>
      <c r="I640" s="7"/>
    </row>
    <row r="641" ht="12.75" customHeight="1">
      <c r="A641" s="7"/>
      <c r="B641" s="7"/>
      <c r="C641" s="7"/>
      <c r="D641" s="7"/>
      <c r="E641" s="7"/>
      <c r="F641" s="7"/>
      <c r="G641" s="7"/>
      <c r="H641" s="7"/>
      <c r="I641" s="7"/>
    </row>
    <row r="642" ht="12.75" customHeight="1">
      <c r="A642" s="7"/>
      <c r="B642" s="7"/>
      <c r="C642" s="7"/>
      <c r="D642" s="7"/>
      <c r="E642" s="7"/>
      <c r="F642" s="7"/>
      <c r="G642" s="7"/>
      <c r="H642" s="7"/>
      <c r="I642" s="7"/>
    </row>
    <row r="643" ht="12.75" customHeight="1">
      <c r="A643" s="7"/>
      <c r="B643" s="7"/>
      <c r="C643" s="7"/>
      <c r="D643" s="7"/>
      <c r="E643" s="7"/>
      <c r="F643" s="7"/>
      <c r="G643" s="7"/>
      <c r="H643" s="7"/>
      <c r="I643" s="7"/>
    </row>
    <row r="644" ht="12.75" customHeight="1">
      <c r="A644" s="7"/>
      <c r="B644" s="7"/>
      <c r="C644" s="7"/>
      <c r="D644" s="7"/>
      <c r="E644" s="7"/>
      <c r="F644" s="7"/>
      <c r="G644" s="7"/>
      <c r="H644" s="7"/>
      <c r="I644" s="7"/>
    </row>
    <row r="645" ht="12.75" customHeight="1">
      <c r="A645" s="7"/>
      <c r="B645" s="7"/>
      <c r="C645" s="7"/>
      <c r="D645" s="7"/>
      <c r="E645" s="7"/>
      <c r="F645" s="7"/>
      <c r="G645" s="7"/>
      <c r="H645" s="7"/>
      <c r="I645" s="7"/>
    </row>
    <row r="646" ht="12.75" customHeight="1">
      <c r="A646" s="7"/>
      <c r="B646" s="7"/>
      <c r="C646" s="7"/>
      <c r="D646" s="7"/>
      <c r="E646" s="7"/>
      <c r="F646" s="7"/>
      <c r="G646" s="7"/>
      <c r="H646" s="7"/>
      <c r="I646" s="7"/>
    </row>
    <row r="647" ht="12.75" customHeight="1">
      <c r="A647" s="7"/>
      <c r="B647" s="7"/>
      <c r="C647" s="7"/>
      <c r="D647" s="7"/>
      <c r="E647" s="7"/>
      <c r="F647" s="7"/>
      <c r="G647" s="7"/>
      <c r="H647" s="7"/>
      <c r="I647" s="7"/>
    </row>
    <row r="648" ht="12.75" customHeight="1">
      <c r="A648" s="7"/>
      <c r="B648" s="7"/>
      <c r="C648" s="7"/>
      <c r="D648" s="7"/>
      <c r="E648" s="7"/>
      <c r="F648" s="7"/>
      <c r="G648" s="7"/>
      <c r="H648" s="7"/>
      <c r="I648" s="7"/>
    </row>
    <row r="649" ht="12.75" customHeight="1">
      <c r="A649" s="7"/>
      <c r="B649" s="7"/>
      <c r="C649" s="7"/>
      <c r="D649" s="7"/>
      <c r="E649" s="7"/>
      <c r="F649" s="7"/>
      <c r="G649" s="7"/>
      <c r="H649" s="7"/>
      <c r="I649" s="7"/>
    </row>
    <row r="650" ht="12.75" customHeight="1">
      <c r="A650" s="7"/>
      <c r="B650" s="7"/>
      <c r="C650" s="7"/>
      <c r="D650" s="7"/>
      <c r="E650" s="7"/>
      <c r="F650" s="7"/>
      <c r="G650" s="7"/>
      <c r="H650" s="7"/>
      <c r="I650" s="7"/>
    </row>
    <row r="651" ht="12.75" customHeight="1">
      <c r="A651" s="7"/>
      <c r="B651" s="7"/>
      <c r="C651" s="7"/>
      <c r="D651" s="7"/>
      <c r="E651" s="7"/>
      <c r="F651" s="7"/>
      <c r="G651" s="7"/>
      <c r="H651" s="7"/>
      <c r="I651" s="7"/>
    </row>
    <row r="652" ht="12.75" customHeight="1">
      <c r="A652" s="7"/>
      <c r="B652" s="7"/>
      <c r="C652" s="7"/>
      <c r="D652" s="7"/>
      <c r="E652" s="7"/>
      <c r="F652" s="7"/>
      <c r="G652" s="7"/>
      <c r="H652" s="7"/>
      <c r="I652" s="7"/>
    </row>
    <row r="653" ht="12.75" customHeight="1">
      <c r="A653" s="7"/>
      <c r="B653" s="7"/>
      <c r="C653" s="7"/>
      <c r="D653" s="7"/>
      <c r="E653" s="7"/>
      <c r="F653" s="7"/>
      <c r="G653" s="7"/>
      <c r="H653" s="7"/>
      <c r="I653" s="7"/>
    </row>
    <row r="654" ht="12.75" customHeight="1">
      <c r="A654" s="7"/>
      <c r="B654" s="7"/>
      <c r="C654" s="7"/>
      <c r="D654" s="7"/>
      <c r="E654" s="7"/>
      <c r="F654" s="7"/>
      <c r="G654" s="7"/>
      <c r="H654" s="7"/>
      <c r="I654" s="7"/>
    </row>
    <row r="655" ht="12.75" customHeight="1">
      <c r="A655" s="7"/>
      <c r="B655" s="7"/>
      <c r="C655" s="7"/>
      <c r="D655" s="7"/>
      <c r="E655" s="7"/>
      <c r="F655" s="7"/>
      <c r="G655" s="7"/>
      <c r="H655" s="7"/>
      <c r="I655" s="7"/>
    </row>
    <row r="656" ht="12.75" customHeight="1">
      <c r="A656" s="7"/>
      <c r="B656" s="7"/>
      <c r="C656" s="7"/>
      <c r="D656" s="7"/>
      <c r="E656" s="7"/>
      <c r="F656" s="7"/>
      <c r="G656" s="7"/>
      <c r="H656" s="7"/>
      <c r="I656" s="7"/>
    </row>
    <row r="657" ht="12.75" customHeight="1">
      <c r="A657" s="7"/>
      <c r="B657" s="7"/>
      <c r="C657" s="7"/>
      <c r="D657" s="7"/>
      <c r="E657" s="7"/>
      <c r="F657" s="7"/>
      <c r="G657" s="7"/>
      <c r="H657" s="7"/>
      <c r="I657" s="7"/>
    </row>
    <row r="658" ht="12.75" customHeight="1">
      <c r="A658" s="7"/>
      <c r="B658" s="7"/>
      <c r="C658" s="7"/>
      <c r="D658" s="7"/>
      <c r="E658" s="7"/>
      <c r="F658" s="7"/>
      <c r="G658" s="7"/>
      <c r="H658" s="7"/>
      <c r="I658" s="7"/>
    </row>
    <row r="659" ht="12.75" customHeight="1">
      <c r="A659" s="7"/>
      <c r="B659" s="7"/>
      <c r="C659" s="7"/>
      <c r="D659" s="7"/>
      <c r="E659" s="7"/>
      <c r="F659" s="7"/>
      <c r="G659" s="7"/>
      <c r="H659" s="7"/>
      <c r="I659" s="7"/>
    </row>
    <row r="660" ht="12.75" customHeight="1">
      <c r="A660" s="7"/>
      <c r="B660" s="7"/>
      <c r="C660" s="7"/>
      <c r="D660" s="7"/>
      <c r="E660" s="7"/>
      <c r="F660" s="7"/>
      <c r="G660" s="7"/>
      <c r="H660" s="7"/>
      <c r="I660" s="7"/>
    </row>
    <row r="661" ht="12.75" customHeight="1">
      <c r="A661" s="7"/>
      <c r="B661" s="7"/>
      <c r="C661" s="7"/>
      <c r="D661" s="7"/>
      <c r="E661" s="7"/>
      <c r="F661" s="7"/>
      <c r="G661" s="7"/>
      <c r="H661" s="7"/>
      <c r="I661" s="7"/>
    </row>
    <row r="662" ht="12.75" customHeight="1">
      <c r="A662" s="7"/>
      <c r="B662" s="7"/>
      <c r="C662" s="7"/>
      <c r="D662" s="7"/>
      <c r="E662" s="7"/>
      <c r="F662" s="7"/>
      <c r="G662" s="7"/>
      <c r="H662" s="7"/>
      <c r="I662" s="7"/>
    </row>
    <row r="663" ht="12.75" customHeight="1">
      <c r="A663" s="7"/>
      <c r="B663" s="7"/>
      <c r="C663" s="7"/>
      <c r="D663" s="7"/>
      <c r="E663" s="7"/>
      <c r="F663" s="7"/>
      <c r="G663" s="7"/>
      <c r="H663" s="7"/>
      <c r="I663" s="7"/>
    </row>
    <row r="664" ht="12.75" customHeight="1">
      <c r="A664" s="7"/>
      <c r="B664" s="7"/>
      <c r="C664" s="7"/>
      <c r="D664" s="7"/>
      <c r="E664" s="7"/>
      <c r="F664" s="7"/>
      <c r="G664" s="7"/>
      <c r="H664" s="7"/>
      <c r="I664" s="7"/>
    </row>
    <row r="665" ht="12.75" customHeight="1">
      <c r="A665" s="7"/>
      <c r="B665" s="7"/>
      <c r="C665" s="7"/>
      <c r="D665" s="7"/>
      <c r="E665" s="7"/>
      <c r="F665" s="7"/>
      <c r="G665" s="7"/>
      <c r="H665" s="7"/>
      <c r="I665" s="7"/>
    </row>
    <row r="666" ht="12.75" customHeight="1">
      <c r="A666" s="7"/>
      <c r="B666" s="7"/>
      <c r="C666" s="7"/>
      <c r="D666" s="7"/>
      <c r="E666" s="7"/>
      <c r="F666" s="7"/>
      <c r="G666" s="7"/>
      <c r="H666" s="7"/>
      <c r="I666" s="7"/>
    </row>
    <row r="667" ht="12.75" customHeight="1">
      <c r="A667" s="7"/>
      <c r="B667" s="7"/>
      <c r="C667" s="7"/>
      <c r="D667" s="7"/>
      <c r="E667" s="7"/>
      <c r="F667" s="7"/>
      <c r="G667" s="7"/>
      <c r="H667" s="7"/>
      <c r="I667" s="7"/>
    </row>
    <row r="668" ht="12.75" customHeight="1">
      <c r="A668" s="7"/>
      <c r="B668" s="7"/>
      <c r="C668" s="7"/>
      <c r="D668" s="7"/>
      <c r="E668" s="7"/>
      <c r="F668" s="7"/>
      <c r="G668" s="7"/>
      <c r="H668" s="7"/>
      <c r="I668" s="7"/>
    </row>
    <row r="669" ht="12.75" customHeight="1">
      <c r="A669" s="7"/>
      <c r="B669" s="7"/>
      <c r="C669" s="7"/>
      <c r="D669" s="7"/>
      <c r="E669" s="7"/>
      <c r="F669" s="7"/>
      <c r="G669" s="7"/>
      <c r="H669" s="7"/>
      <c r="I669" s="7"/>
    </row>
    <row r="670" ht="12.75" customHeight="1">
      <c r="A670" s="7"/>
      <c r="B670" s="7"/>
      <c r="C670" s="7"/>
      <c r="D670" s="7"/>
      <c r="E670" s="7"/>
      <c r="F670" s="7"/>
      <c r="G670" s="7"/>
      <c r="H670" s="7"/>
      <c r="I670" s="7"/>
    </row>
    <row r="671" ht="12.75" customHeight="1">
      <c r="A671" s="7"/>
      <c r="B671" s="7"/>
      <c r="C671" s="7"/>
      <c r="D671" s="7"/>
      <c r="E671" s="7"/>
      <c r="F671" s="7"/>
      <c r="G671" s="7"/>
      <c r="H671" s="7"/>
      <c r="I671" s="7"/>
    </row>
    <row r="672" ht="12.75" customHeight="1">
      <c r="A672" s="7"/>
      <c r="B672" s="7"/>
      <c r="C672" s="7"/>
      <c r="D672" s="7"/>
      <c r="E672" s="7"/>
      <c r="F672" s="7"/>
      <c r="G672" s="7"/>
      <c r="H672" s="7"/>
      <c r="I672" s="7"/>
    </row>
    <row r="673" ht="12.75" customHeight="1">
      <c r="A673" s="7"/>
      <c r="B673" s="7"/>
      <c r="C673" s="7"/>
      <c r="D673" s="7"/>
      <c r="E673" s="7"/>
      <c r="F673" s="7"/>
      <c r="G673" s="7"/>
      <c r="H673" s="7"/>
      <c r="I673" s="7"/>
    </row>
    <row r="674" ht="12.75" customHeight="1">
      <c r="A674" s="7"/>
      <c r="B674" s="7"/>
      <c r="C674" s="7"/>
      <c r="D674" s="7"/>
      <c r="E674" s="7"/>
      <c r="F674" s="7"/>
      <c r="G674" s="7"/>
      <c r="H674" s="7"/>
      <c r="I674" s="7"/>
    </row>
    <row r="675" ht="12.75" customHeight="1">
      <c r="A675" s="7"/>
      <c r="B675" s="7"/>
      <c r="C675" s="7"/>
      <c r="D675" s="7"/>
      <c r="E675" s="7"/>
      <c r="F675" s="7"/>
      <c r="G675" s="7"/>
      <c r="H675" s="7"/>
      <c r="I675" s="7"/>
    </row>
    <row r="676" ht="12.75" customHeight="1">
      <c r="A676" s="7"/>
      <c r="B676" s="7"/>
      <c r="C676" s="7"/>
      <c r="D676" s="7"/>
      <c r="E676" s="7"/>
      <c r="F676" s="7"/>
      <c r="G676" s="7"/>
      <c r="H676" s="7"/>
      <c r="I676" s="7"/>
    </row>
    <row r="677" ht="12.75" customHeight="1">
      <c r="A677" s="7"/>
      <c r="B677" s="7"/>
      <c r="C677" s="7"/>
      <c r="D677" s="7"/>
      <c r="E677" s="7"/>
      <c r="F677" s="7"/>
      <c r="G677" s="7"/>
      <c r="H677" s="7"/>
      <c r="I677" s="7"/>
    </row>
    <row r="678" ht="12.75" customHeight="1">
      <c r="A678" s="7"/>
      <c r="B678" s="7"/>
      <c r="C678" s="7"/>
      <c r="D678" s="7"/>
      <c r="E678" s="7"/>
      <c r="F678" s="7"/>
      <c r="G678" s="7"/>
      <c r="H678" s="7"/>
      <c r="I678" s="7"/>
    </row>
    <row r="679" ht="12.75" customHeight="1">
      <c r="A679" s="7"/>
      <c r="B679" s="7"/>
      <c r="C679" s="7"/>
      <c r="D679" s="7"/>
      <c r="E679" s="7"/>
      <c r="F679" s="7"/>
      <c r="G679" s="7"/>
      <c r="H679" s="7"/>
      <c r="I679" s="7"/>
    </row>
    <row r="680" ht="12.75" customHeight="1">
      <c r="A680" s="7"/>
      <c r="B680" s="7"/>
      <c r="C680" s="7"/>
      <c r="D680" s="7"/>
      <c r="E680" s="7"/>
      <c r="F680" s="7"/>
      <c r="G680" s="7"/>
      <c r="H680" s="7"/>
      <c r="I680" s="7"/>
    </row>
    <row r="681" ht="12.75" customHeight="1">
      <c r="A681" s="7"/>
      <c r="B681" s="7"/>
      <c r="C681" s="7"/>
      <c r="D681" s="7"/>
      <c r="E681" s="7"/>
      <c r="F681" s="7"/>
      <c r="G681" s="7"/>
      <c r="H681" s="7"/>
      <c r="I681" s="7"/>
    </row>
    <row r="682" ht="12.75" customHeight="1">
      <c r="A682" s="7"/>
      <c r="B682" s="7"/>
      <c r="C682" s="7"/>
      <c r="D682" s="7"/>
      <c r="E682" s="7"/>
      <c r="F682" s="7"/>
      <c r="G682" s="7"/>
      <c r="H682" s="7"/>
      <c r="I682" s="7"/>
    </row>
    <row r="683" ht="12.75" customHeight="1">
      <c r="A683" s="7"/>
      <c r="B683" s="7"/>
      <c r="C683" s="7"/>
      <c r="D683" s="7"/>
      <c r="E683" s="7"/>
      <c r="F683" s="7"/>
      <c r="G683" s="7"/>
      <c r="H683" s="7"/>
      <c r="I683" s="7"/>
    </row>
    <row r="684" ht="12.75" customHeight="1">
      <c r="A684" s="7"/>
      <c r="B684" s="7"/>
      <c r="C684" s="7"/>
      <c r="D684" s="7"/>
      <c r="E684" s="7"/>
      <c r="F684" s="7"/>
      <c r="G684" s="7"/>
      <c r="H684" s="7"/>
      <c r="I684" s="7"/>
    </row>
    <row r="685" ht="12.75" customHeight="1">
      <c r="A685" s="7"/>
      <c r="B685" s="7"/>
      <c r="C685" s="7"/>
      <c r="D685" s="7"/>
      <c r="E685" s="7"/>
      <c r="F685" s="7"/>
      <c r="G685" s="7"/>
      <c r="H685" s="7"/>
      <c r="I685" s="7"/>
    </row>
    <row r="686" ht="12.75" customHeight="1">
      <c r="A686" s="7"/>
      <c r="B686" s="7"/>
      <c r="C686" s="7"/>
      <c r="D686" s="7"/>
      <c r="E686" s="7"/>
      <c r="F686" s="7"/>
      <c r="G686" s="7"/>
      <c r="H686" s="7"/>
      <c r="I686" s="7"/>
    </row>
    <row r="687" ht="12.75" customHeight="1">
      <c r="A687" s="7"/>
      <c r="B687" s="7"/>
      <c r="C687" s="7"/>
      <c r="D687" s="7"/>
      <c r="E687" s="7"/>
      <c r="F687" s="7"/>
      <c r="G687" s="7"/>
      <c r="H687" s="7"/>
      <c r="I687" s="7"/>
    </row>
    <row r="688" ht="12.75" customHeight="1">
      <c r="A688" s="7"/>
      <c r="B688" s="7"/>
      <c r="C688" s="7"/>
      <c r="D688" s="7"/>
      <c r="E688" s="7"/>
      <c r="F688" s="7"/>
      <c r="G688" s="7"/>
      <c r="H688" s="7"/>
      <c r="I688" s="7"/>
    </row>
    <row r="689" ht="12.75" customHeight="1">
      <c r="A689" s="7"/>
      <c r="B689" s="7"/>
      <c r="C689" s="7"/>
      <c r="D689" s="7"/>
      <c r="E689" s="7"/>
      <c r="F689" s="7"/>
      <c r="G689" s="7"/>
      <c r="H689" s="7"/>
      <c r="I689" s="7"/>
    </row>
    <row r="690" ht="12.75" customHeight="1">
      <c r="A690" s="7"/>
      <c r="B690" s="7"/>
      <c r="C690" s="7"/>
      <c r="D690" s="7"/>
      <c r="E690" s="7"/>
      <c r="F690" s="7"/>
      <c r="G690" s="7"/>
      <c r="H690" s="7"/>
      <c r="I690" s="7"/>
    </row>
    <row r="691" ht="12.75" customHeight="1">
      <c r="A691" s="7"/>
      <c r="B691" s="7"/>
      <c r="C691" s="7"/>
      <c r="D691" s="7"/>
      <c r="E691" s="7"/>
      <c r="F691" s="7"/>
      <c r="G691" s="7"/>
      <c r="H691" s="7"/>
      <c r="I691" s="7"/>
    </row>
    <row r="692" ht="12.75" customHeight="1">
      <c r="A692" s="7"/>
      <c r="B692" s="7"/>
      <c r="C692" s="7"/>
      <c r="D692" s="7"/>
      <c r="E692" s="7"/>
      <c r="F692" s="7"/>
      <c r="G692" s="7"/>
      <c r="H692" s="7"/>
      <c r="I692" s="7"/>
    </row>
    <row r="693" ht="12.75" customHeight="1">
      <c r="A693" s="7"/>
      <c r="B693" s="7"/>
      <c r="C693" s="7"/>
      <c r="D693" s="7"/>
      <c r="E693" s="7"/>
      <c r="F693" s="7"/>
      <c r="G693" s="7"/>
      <c r="H693" s="7"/>
      <c r="I693" s="7"/>
    </row>
    <row r="694" ht="12.75" customHeight="1">
      <c r="A694" s="7"/>
      <c r="B694" s="7"/>
      <c r="C694" s="7"/>
      <c r="D694" s="7"/>
      <c r="E694" s="7"/>
      <c r="F694" s="7"/>
      <c r="G694" s="7"/>
      <c r="H694" s="7"/>
      <c r="I694" s="7"/>
    </row>
    <row r="695" ht="12.75" customHeight="1">
      <c r="A695" s="7"/>
      <c r="B695" s="7"/>
      <c r="C695" s="7"/>
      <c r="D695" s="7"/>
      <c r="E695" s="7"/>
      <c r="F695" s="7"/>
      <c r="G695" s="7"/>
      <c r="H695" s="7"/>
      <c r="I695" s="7"/>
    </row>
    <row r="696" ht="12.75" customHeight="1">
      <c r="A696" s="7"/>
      <c r="B696" s="7"/>
      <c r="C696" s="7"/>
      <c r="D696" s="7"/>
      <c r="E696" s="7"/>
      <c r="F696" s="7"/>
      <c r="G696" s="7"/>
      <c r="H696" s="7"/>
      <c r="I696" s="7"/>
    </row>
    <row r="697" ht="12.75" customHeight="1">
      <c r="A697" s="7"/>
      <c r="B697" s="7"/>
      <c r="C697" s="7"/>
      <c r="D697" s="7"/>
      <c r="E697" s="7"/>
      <c r="F697" s="7"/>
      <c r="G697" s="7"/>
      <c r="H697" s="7"/>
      <c r="I697" s="7"/>
    </row>
    <row r="698" ht="12.75" customHeight="1">
      <c r="A698" s="7"/>
      <c r="B698" s="7"/>
      <c r="C698" s="7"/>
      <c r="D698" s="7"/>
      <c r="E698" s="7"/>
      <c r="F698" s="7"/>
      <c r="G698" s="7"/>
      <c r="H698" s="7"/>
      <c r="I698" s="7"/>
    </row>
    <row r="699" ht="12.75" customHeight="1">
      <c r="A699" s="7"/>
      <c r="B699" s="7"/>
      <c r="C699" s="7"/>
      <c r="D699" s="7"/>
      <c r="E699" s="7"/>
      <c r="F699" s="7"/>
      <c r="G699" s="7"/>
      <c r="H699" s="7"/>
      <c r="I699" s="7"/>
    </row>
    <row r="700" ht="12.75" customHeight="1">
      <c r="A700" s="7"/>
      <c r="B700" s="7"/>
      <c r="C700" s="7"/>
      <c r="D700" s="7"/>
      <c r="E700" s="7"/>
      <c r="F700" s="7"/>
      <c r="G700" s="7"/>
      <c r="H700" s="7"/>
      <c r="I700" s="7"/>
    </row>
    <row r="701" ht="12.75" customHeight="1">
      <c r="A701" s="7"/>
      <c r="B701" s="7"/>
      <c r="C701" s="7"/>
      <c r="D701" s="7"/>
      <c r="E701" s="7"/>
      <c r="F701" s="7"/>
      <c r="G701" s="7"/>
      <c r="H701" s="7"/>
      <c r="I701" s="7"/>
    </row>
    <row r="702" ht="12.75" customHeight="1">
      <c r="A702" s="7"/>
      <c r="B702" s="7"/>
      <c r="C702" s="7"/>
      <c r="D702" s="7"/>
      <c r="E702" s="7"/>
      <c r="F702" s="7"/>
      <c r="G702" s="7"/>
      <c r="H702" s="7"/>
      <c r="I702" s="7"/>
    </row>
    <row r="703" ht="12.75" customHeight="1">
      <c r="A703" s="7"/>
      <c r="B703" s="7"/>
      <c r="C703" s="7"/>
      <c r="D703" s="7"/>
      <c r="E703" s="7"/>
      <c r="F703" s="7"/>
      <c r="G703" s="7"/>
      <c r="H703" s="7"/>
      <c r="I703" s="7"/>
    </row>
    <row r="704" ht="12.75" customHeight="1">
      <c r="A704" s="7"/>
      <c r="B704" s="7"/>
      <c r="C704" s="7"/>
      <c r="D704" s="7"/>
      <c r="E704" s="7"/>
      <c r="F704" s="7"/>
      <c r="G704" s="7"/>
      <c r="H704" s="7"/>
      <c r="I704" s="7"/>
    </row>
    <row r="705" ht="12.75" customHeight="1">
      <c r="A705" s="7"/>
      <c r="B705" s="7"/>
      <c r="C705" s="7"/>
      <c r="D705" s="7"/>
      <c r="E705" s="7"/>
      <c r="F705" s="7"/>
      <c r="G705" s="7"/>
      <c r="H705" s="7"/>
      <c r="I705" s="7"/>
    </row>
    <row r="706" ht="12.75" customHeight="1">
      <c r="A706" s="7"/>
      <c r="B706" s="7"/>
      <c r="C706" s="7"/>
      <c r="D706" s="7"/>
      <c r="E706" s="7"/>
      <c r="F706" s="7"/>
      <c r="G706" s="7"/>
      <c r="H706" s="7"/>
      <c r="I706" s="7"/>
    </row>
    <row r="707" ht="12.75" customHeight="1">
      <c r="A707" s="7"/>
      <c r="B707" s="7"/>
      <c r="C707" s="7"/>
      <c r="D707" s="7"/>
      <c r="E707" s="7"/>
      <c r="F707" s="7"/>
      <c r="G707" s="7"/>
      <c r="H707" s="7"/>
      <c r="I707" s="7"/>
    </row>
    <row r="708" ht="12.75" customHeight="1">
      <c r="A708" s="7"/>
      <c r="B708" s="7"/>
      <c r="C708" s="7"/>
      <c r="D708" s="7"/>
      <c r="E708" s="7"/>
      <c r="F708" s="7"/>
      <c r="G708" s="7"/>
      <c r="H708" s="7"/>
      <c r="I708" s="7"/>
    </row>
    <row r="709" ht="12.75" customHeight="1">
      <c r="A709" s="7"/>
      <c r="B709" s="7"/>
      <c r="C709" s="7"/>
      <c r="D709" s="7"/>
      <c r="E709" s="7"/>
      <c r="F709" s="7"/>
      <c r="G709" s="7"/>
      <c r="H709" s="7"/>
      <c r="I709" s="7"/>
    </row>
    <row r="710" ht="12.75" customHeight="1">
      <c r="A710" s="7"/>
      <c r="B710" s="7"/>
      <c r="C710" s="7"/>
      <c r="D710" s="7"/>
      <c r="E710" s="7"/>
      <c r="F710" s="7"/>
      <c r="G710" s="7"/>
      <c r="H710" s="7"/>
      <c r="I710" s="7"/>
    </row>
    <row r="711" ht="12.75" customHeight="1">
      <c r="A711" s="7"/>
      <c r="B711" s="7"/>
      <c r="C711" s="7"/>
      <c r="D711" s="7"/>
      <c r="E711" s="7"/>
      <c r="F711" s="7"/>
      <c r="G711" s="7"/>
      <c r="H711" s="7"/>
      <c r="I711" s="7"/>
    </row>
    <row r="712" ht="12.75" customHeight="1">
      <c r="A712" s="7"/>
      <c r="B712" s="7"/>
      <c r="C712" s="7"/>
      <c r="D712" s="7"/>
      <c r="E712" s="7"/>
      <c r="F712" s="7"/>
      <c r="G712" s="7"/>
      <c r="H712" s="7"/>
      <c r="I712" s="7"/>
    </row>
    <row r="713" ht="12.75" customHeight="1">
      <c r="A713" s="7"/>
      <c r="B713" s="7"/>
      <c r="C713" s="7"/>
      <c r="D713" s="7"/>
      <c r="E713" s="7"/>
      <c r="F713" s="7"/>
      <c r="G713" s="7"/>
      <c r="H713" s="7"/>
      <c r="I713" s="7"/>
    </row>
    <row r="714" ht="12.75" customHeight="1">
      <c r="A714" s="7"/>
      <c r="B714" s="7"/>
      <c r="C714" s="7"/>
      <c r="D714" s="7"/>
      <c r="E714" s="7"/>
      <c r="F714" s="7"/>
      <c r="G714" s="7"/>
      <c r="H714" s="7"/>
      <c r="I714" s="7"/>
    </row>
    <row r="715" ht="12.75" customHeight="1">
      <c r="A715" s="7"/>
      <c r="B715" s="7"/>
      <c r="C715" s="7"/>
      <c r="D715" s="7"/>
      <c r="E715" s="7"/>
      <c r="F715" s="7"/>
      <c r="G715" s="7"/>
      <c r="H715" s="7"/>
      <c r="I715" s="7"/>
    </row>
    <row r="716" ht="12.75" customHeight="1">
      <c r="A716" s="7"/>
      <c r="B716" s="7"/>
      <c r="C716" s="7"/>
      <c r="D716" s="7"/>
      <c r="E716" s="7"/>
      <c r="F716" s="7"/>
      <c r="G716" s="7"/>
      <c r="H716" s="7"/>
      <c r="I716" s="7"/>
    </row>
    <row r="717" ht="12.75" customHeight="1">
      <c r="A717" s="7"/>
      <c r="B717" s="7"/>
      <c r="C717" s="7"/>
      <c r="D717" s="7"/>
      <c r="E717" s="7"/>
      <c r="F717" s="7"/>
      <c r="G717" s="7"/>
      <c r="H717" s="7"/>
      <c r="I717" s="7"/>
    </row>
    <row r="718" ht="12.75" customHeight="1">
      <c r="A718" s="7"/>
      <c r="B718" s="7"/>
      <c r="C718" s="7"/>
      <c r="D718" s="7"/>
      <c r="E718" s="7"/>
      <c r="F718" s="7"/>
      <c r="G718" s="7"/>
      <c r="H718" s="7"/>
      <c r="I718" s="7"/>
    </row>
    <row r="719" ht="12.75" customHeight="1">
      <c r="A719" s="7"/>
      <c r="B719" s="7"/>
      <c r="C719" s="7"/>
      <c r="D719" s="7"/>
      <c r="E719" s="7"/>
      <c r="F719" s="7"/>
      <c r="G719" s="7"/>
      <c r="H719" s="7"/>
      <c r="I719" s="7"/>
    </row>
    <row r="720" ht="12.75" customHeight="1">
      <c r="A720" s="7"/>
      <c r="B720" s="7"/>
      <c r="C720" s="7"/>
      <c r="D720" s="7"/>
      <c r="E720" s="7"/>
      <c r="F720" s="7"/>
      <c r="G720" s="7"/>
      <c r="H720" s="7"/>
      <c r="I720" s="7"/>
    </row>
    <row r="721" ht="12.75" customHeight="1">
      <c r="A721" s="7"/>
      <c r="B721" s="7"/>
      <c r="C721" s="7"/>
      <c r="D721" s="7"/>
      <c r="E721" s="7"/>
      <c r="F721" s="7"/>
      <c r="G721" s="7"/>
      <c r="H721" s="7"/>
      <c r="I721" s="7"/>
    </row>
    <row r="722" ht="12.75" customHeight="1">
      <c r="A722" s="7"/>
      <c r="B722" s="7"/>
      <c r="C722" s="7"/>
      <c r="D722" s="7"/>
      <c r="E722" s="7"/>
      <c r="F722" s="7"/>
      <c r="G722" s="7"/>
      <c r="H722" s="7"/>
      <c r="I722" s="7"/>
    </row>
    <row r="723" ht="12.75" customHeight="1">
      <c r="A723" s="7"/>
      <c r="B723" s="7"/>
      <c r="C723" s="7"/>
      <c r="D723" s="7"/>
      <c r="E723" s="7"/>
      <c r="F723" s="7"/>
      <c r="G723" s="7"/>
      <c r="H723" s="7"/>
      <c r="I723" s="7"/>
    </row>
    <row r="724" ht="12.75" customHeight="1">
      <c r="A724" s="7"/>
      <c r="B724" s="7"/>
      <c r="C724" s="7"/>
      <c r="D724" s="7"/>
      <c r="E724" s="7"/>
      <c r="F724" s="7"/>
      <c r="G724" s="7"/>
      <c r="H724" s="7"/>
      <c r="I724" s="7"/>
    </row>
    <row r="725" ht="12.75" customHeight="1">
      <c r="A725" s="7"/>
      <c r="B725" s="7"/>
      <c r="C725" s="7"/>
      <c r="D725" s="7"/>
      <c r="E725" s="7"/>
      <c r="F725" s="7"/>
      <c r="G725" s="7"/>
      <c r="H725" s="7"/>
      <c r="I725" s="7"/>
    </row>
    <row r="726" ht="12.75" customHeight="1">
      <c r="A726" s="7"/>
      <c r="B726" s="7"/>
      <c r="C726" s="7"/>
      <c r="D726" s="7"/>
      <c r="E726" s="7"/>
      <c r="F726" s="7"/>
      <c r="G726" s="7"/>
      <c r="H726" s="7"/>
      <c r="I726" s="7"/>
    </row>
    <row r="727" ht="12.75" customHeight="1">
      <c r="A727" s="7"/>
      <c r="B727" s="7"/>
      <c r="C727" s="7"/>
      <c r="D727" s="7"/>
      <c r="E727" s="7"/>
      <c r="F727" s="7"/>
      <c r="G727" s="7"/>
      <c r="H727" s="7"/>
      <c r="I727" s="7"/>
    </row>
    <row r="728" ht="12.75" customHeight="1">
      <c r="A728" s="7"/>
      <c r="B728" s="7"/>
      <c r="C728" s="7"/>
      <c r="D728" s="7"/>
      <c r="E728" s="7"/>
      <c r="F728" s="7"/>
      <c r="G728" s="7"/>
      <c r="H728" s="7"/>
      <c r="I728" s="7"/>
    </row>
    <row r="729" ht="12.75" customHeight="1">
      <c r="A729" s="7"/>
      <c r="B729" s="7"/>
      <c r="C729" s="7"/>
      <c r="D729" s="7"/>
      <c r="E729" s="7"/>
      <c r="F729" s="7"/>
      <c r="G729" s="7"/>
      <c r="H729" s="7"/>
      <c r="I729" s="7"/>
    </row>
    <row r="730" ht="12.75" customHeight="1">
      <c r="A730" s="7"/>
      <c r="B730" s="7"/>
      <c r="C730" s="7"/>
      <c r="D730" s="7"/>
      <c r="E730" s="7"/>
      <c r="F730" s="7"/>
      <c r="G730" s="7"/>
      <c r="H730" s="7"/>
      <c r="I730" s="7"/>
    </row>
    <row r="731" ht="12.75" customHeight="1">
      <c r="A731" s="7"/>
      <c r="B731" s="7"/>
      <c r="C731" s="7"/>
      <c r="D731" s="7"/>
      <c r="E731" s="7"/>
      <c r="F731" s="7"/>
      <c r="G731" s="7"/>
      <c r="H731" s="7"/>
      <c r="I731" s="7"/>
    </row>
    <row r="732" ht="12.75" customHeight="1">
      <c r="A732" s="7"/>
      <c r="B732" s="7"/>
      <c r="C732" s="7"/>
      <c r="D732" s="7"/>
      <c r="E732" s="7"/>
      <c r="F732" s="7"/>
      <c r="G732" s="7"/>
      <c r="H732" s="7"/>
      <c r="I732" s="7"/>
    </row>
    <row r="733" ht="12.75" customHeight="1">
      <c r="A733" s="7"/>
      <c r="B733" s="7"/>
      <c r="C733" s="7"/>
      <c r="D733" s="7"/>
      <c r="E733" s="7"/>
      <c r="F733" s="7"/>
      <c r="G733" s="7"/>
      <c r="H733" s="7"/>
      <c r="I733" s="7"/>
    </row>
    <row r="734" ht="12.75" customHeight="1">
      <c r="A734" s="7"/>
      <c r="B734" s="7"/>
      <c r="C734" s="7"/>
      <c r="D734" s="7"/>
      <c r="E734" s="7"/>
      <c r="F734" s="7"/>
      <c r="G734" s="7"/>
      <c r="H734" s="7"/>
      <c r="I734" s="7"/>
    </row>
    <row r="735" ht="12.75" customHeight="1">
      <c r="A735" s="7"/>
      <c r="B735" s="7"/>
      <c r="C735" s="7"/>
      <c r="D735" s="7"/>
      <c r="E735" s="7"/>
      <c r="F735" s="7"/>
      <c r="G735" s="7"/>
      <c r="H735" s="7"/>
      <c r="I735" s="7"/>
    </row>
    <row r="736" ht="12.75" customHeight="1">
      <c r="A736" s="7"/>
      <c r="B736" s="7"/>
      <c r="C736" s="7"/>
      <c r="D736" s="7"/>
      <c r="E736" s="7"/>
      <c r="F736" s="7"/>
      <c r="G736" s="7"/>
      <c r="H736" s="7"/>
      <c r="I736" s="7"/>
    </row>
    <row r="737" ht="12.75" customHeight="1">
      <c r="A737" s="7"/>
      <c r="B737" s="7"/>
      <c r="C737" s="7"/>
      <c r="D737" s="7"/>
      <c r="E737" s="7"/>
      <c r="F737" s="7"/>
      <c r="G737" s="7"/>
      <c r="H737" s="7"/>
      <c r="I737" s="7"/>
    </row>
    <row r="738" ht="12.75" customHeight="1">
      <c r="A738" s="7"/>
      <c r="B738" s="7"/>
      <c r="C738" s="7"/>
      <c r="D738" s="7"/>
      <c r="E738" s="7"/>
      <c r="F738" s="7"/>
      <c r="G738" s="7"/>
      <c r="H738" s="7"/>
      <c r="I738" s="7"/>
    </row>
    <row r="739" ht="12.75" customHeight="1">
      <c r="A739" s="7"/>
      <c r="B739" s="7"/>
      <c r="C739" s="7"/>
      <c r="D739" s="7"/>
      <c r="E739" s="7"/>
      <c r="F739" s="7"/>
      <c r="G739" s="7"/>
      <c r="H739" s="7"/>
      <c r="I739" s="7"/>
    </row>
    <row r="740" ht="12.75" customHeight="1">
      <c r="A740" s="7"/>
      <c r="B740" s="7"/>
      <c r="C740" s="7"/>
      <c r="D740" s="7"/>
      <c r="E740" s="7"/>
      <c r="F740" s="7"/>
      <c r="G740" s="7"/>
      <c r="H740" s="7"/>
      <c r="I740" s="7"/>
    </row>
    <row r="741" ht="12.75" customHeight="1">
      <c r="A741" s="7"/>
      <c r="B741" s="7"/>
      <c r="C741" s="7"/>
      <c r="D741" s="7"/>
      <c r="E741" s="7"/>
      <c r="F741" s="7"/>
      <c r="G741" s="7"/>
      <c r="H741" s="7"/>
      <c r="I741" s="7"/>
    </row>
    <row r="742" ht="12.75" customHeight="1">
      <c r="A742" s="7"/>
      <c r="B742" s="7"/>
      <c r="C742" s="7"/>
      <c r="D742" s="7"/>
      <c r="E742" s="7"/>
      <c r="F742" s="7"/>
      <c r="G742" s="7"/>
      <c r="H742" s="7"/>
      <c r="I742" s="7"/>
    </row>
    <row r="743" ht="12.75" customHeight="1">
      <c r="A743" s="7"/>
      <c r="B743" s="7"/>
      <c r="C743" s="7"/>
      <c r="D743" s="7"/>
      <c r="E743" s="7"/>
      <c r="F743" s="7"/>
      <c r="G743" s="7"/>
      <c r="H743" s="7"/>
      <c r="I743" s="7"/>
    </row>
    <row r="744" ht="12.75" customHeight="1">
      <c r="A744" s="7"/>
      <c r="B744" s="7"/>
      <c r="C744" s="7"/>
      <c r="D744" s="7"/>
      <c r="E744" s="7"/>
      <c r="F744" s="7"/>
      <c r="G744" s="7"/>
      <c r="H744" s="7"/>
      <c r="I744" s="7"/>
    </row>
    <row r="745" ht="12.75" customHeight="1">
      <c r="A745" s="7"/>
      <c r="B745" s="7"/>
      <c r="C745" s="7"/>
      <c r="D745" s="7"/>
      <c r="E745" s="7"/>
      <c r="F745" s="7"/>
      <c r="G745" s="7"/>
      <c r="H745" s="7"/>
      <c r="I745" s="7"/>
    </row>
    <row r="746" ht="12.75" customHeight="1">
      <c r="A746" s="7"/>
      <c r="B746" s="7"/>
      <c r="C746" s="7"/>
      <c r="D746" s="7"/>
      <c r="E746" s="7"/>
      <c r="F746" s="7"/>
      <c r="G746" s="7"/>
      <c r="H746" s="7"/>
      <c r="I746" s="7"/>
    </row>
    <row r="747" ht="12.75" customHeight="1">
      <c r="A747" s="7"/>
      <c r="B747" s="7"/>
      <c r="C747" s="7"/>
      <c r="D747" s="7"/>
      <c r="E747" s="7"/>
      <c r="F747" s="7"/>
      <c r="G747" s="7"/>
      <c r="H747" s="7"/>
      <c r="I747" s="7"/>
    </row>
    <row r="748" ht="12.75" customHeight="1">
      <c r="A748" s="7"/>
      <c r="B748" s="7"/>
      <c r="C748" s="7"/>
      <c r="D748" s="7"/>
      <c r="E748" s="7"/>
      <c r="F748" s="7"/>
      <c r="G748" s="7"/>
      <c r="H748" s="7"/>
      <c r="I748" s="7"/>
    </row>
    <row r="749" ht="12.75" customHeight="1">
      <c r="A749" s="7"/>
      <c r="B749" s="7"/>
      <c r="C749" s="7"/>
      <c r="D749" s="7"/>
      <c r="E749" s="7"/>
      <c r="F749" s="7"/>
      <c r="G749" s="7"/>
      <c r="H749" s="7"/>
      <c r="I749" s="7"/>
    </row>
    <row r="750" ht="12.75" customHeight="1">
      <c r="A750" s="7"/>
      <c r="B750" s="7"/>
      <c r="C750" s="7"/>
      <c r="D750" s="7"/>
      <c r="E750" s="7"/>
      <c r="F750" s="7"/>
      <c r="G750" s="7"/>
      <c r="H750" s="7"/>
      <c r="I750" s="7"/>
    </row>
    <row r="751" ht="12.75" customHeight="1">
      <c r="A751" s="7"/>
      <c r="B751" s="7"/>
      <c r="C751" s="7"/>
      <c r="D751" s="7"/>
      <c r="E751" s="7"/>
      <c r="F751" s="7"/>
      <c r="G751" s="7"/>
      <c r="H751" s="7"/>
      <c r="I751" s="7"/>
    </row>
    <row r="752" ht="12.75" customHeight="1">
      <c r="A752" s="7"/>
      <c r="B752" s="7"/>
      <c r="C752" s="7"/>
      <c r="D752" s="7"/>
      <c r="E752" s="7"/>
      <c r="F752" s="7"/>
      <c r="G752" s="7"/>
      <c r="H752" s="7"/>
      <c r="I752" s="7"/>
    </row>
    <row r="753" ht="12.75" customHeight="1">
      <c r="A753" s="7"/>
      <c r="B753" s="7"/>
      <c r="C753" s="7"/>
      <c r="D753" s="7"/>
      <c r="E753" s="7"/>
      <c r="F753" s="7"/>
      <c r="G753" s="7"/>
      <c r="H753" s="7"/>
      <c r="I753" s="7"/>
    </row>
    <row r="754" ht="12.75" customHeight="1">
      <c r="A754" s="7"/>
      <c r="B754" s="7"/>
      <c r="C754" s="7"/>
      <c r="D754" s="7"/>
      <c r="E754" s="7"/>
      <c r="F754" s="7"/>
      <c r="G754" s="7"/>
      <c r="H754" s="7"/>
      <c r="I754" s="7"/>
    </row>
    <row r="755" ht="12.75" customHeight="1">
      <c r="A755" s="7"/>
      <c r="B755" s="7"/>
      <c r="C755" s="7"/>
      <c r="D755" s="7"/>
      <c r="E755" s="7"/>
      <c r="F755" s="7"/>
      <c r="G755" s="7"/>
      <c r="H755" s="7"/>
      <c r="I755" s="7"/>
    </row>
    <row r="756" ht="12.75" customHeight="1">
      <c r="A756" s="7"/>
      <c r="B756" s="7"/>
      <c r="C756" s="7"/>
      <c r="D756" s="7"/>
      <c r="E756" s="7"/>
      <c r="F756" s="7"/>
      <c r="G756" s="7"/>
      <c r="H756" s="7"/>
      <c r="I756" s="7"/>
    </row>
    <row r="757" ht="12.75" customHeight="1">
      <c r="A757" s="7"/>
      <c r="B757" s="7"/>
      <c r="C757" s="7"/>
      <c r="D757" s="7"/>
      <c r="E757" s="7"/>
      <c r="F757" s="7"/>
      <c r="G757" s="7"/>
      <c r="H757" s="7"/>
      <c r="I757" s="7"/>
    </row>
    <row r="758" ht="12.75" customHeight="1">
      <c r="A758" s="7"/>
      <c r="B758" s="7"/>
      <c r="C758" s="7"/>
      <c r="D758" s="7"/>
      <c r="E758" s="7"/>
      <c r="F758" s="7"/>
      <c r="G758" s="7"/>
      <c r="H758" s="7"/>
      <c r="I758" s="7"/>
    </row>
    <row r="759" ht="12.75" customHeight="1">
      <c r="A759" s="7"/>
      <c r="B759" s="7"/>
      <c r="C759" s="7"/>
      <c r="D759" s="7"/>
      <c r="E759" s="7"/>
      <c r="F759" s="7"/>
      <c r="G759" s="7"/>
      <c r="H759" s="7"/>
      <c r="I759" s="7"/>
    </row>
    <row r="760" ht="12.75" customHeight="1">
      <c r="A760" s="7"/>
      <c r="B760" s="7"/>
      <c r="C760" s="7"/>
      <c r="D760" s="7"/>
      <c r="E760" s="7"/>
      <c r="F760" s="7"/>
      <c r="G760" s="7"/>
      <c r="H760" s="7"/>
      <c r="I760" s="7"/>
    </row>
    <row r="761" ht="12.75" customHeight="1">
      <c r="A761" s="7"/>
      <c r="B761" s="7"/>
      <c r="C761" s="7"/>
      <c r="D761" s="7"/>
      <c r="E761" s="7"/>
      <c r="F761" s="7"/>
      <c r="G761" s="7"/>
      <c r="H761" s="7"/>
      <c r="I761" s="7"/>
    </row>
    <row r="762" ht="12.75" customHeight="1">
      <c r="A762" s="7"/>
      <c r="B762" s="7"/>
      <c r="C762" s="7"/>
      <c r="D762" s="7"/>
      <c r="E762" s="7"/>
      <c r="F762" s="7"/>
      <c r="G762" s="7"/>
      <c r="H762" s="7"/>
      <c r="I762" s="7"/>
    </row>
    <row r="763" ht="12.75" customHeight="1">
      <c r="A763" s="7"/>
      <c r="B763" s="7"/>
      <c r="C763" s="7"/>
      <c r="D763" s="7"/>
      <c r="E763" s="7"/>
      <c r="F763" s="7"/>
      <c r="G763" s="7"/>
      <c r="H763" s="7"/>
      <c r="I763" s="7"/>
    </row>
    <row r="764" ht="12.75" customHeight="1">
      <c r="A764" s="7"/>
      <c r="B764" s="7"/>
      <c r="C764" s="7"/>
      <c r="D764" s="7"/>
      <c r="E764" s="7"/>
      <c r="F764" s="7"/>
      <c r="G764" s="7"/>
      <c r="H764" s="7"/>
      <c r="I764" s="7"/>
    </row>
    <row r="765" ht="12.75" customHeight="1">
      <c r="A765" s="7"/>
      <c r="B765" s="7"/>
      <c r="C765" s="7"/>
      <c r="D765" s="7"/>
      <c r="E765" s="7"/>
      <c r="F765" s="7"/>
      <c r="G765" s="7"/>
      <c r="H765" s="7"/>
      <c r="I765" s="7"/>
    </row>
    <row r="766" ht="12.75" customHeight="1">
      <c r="A766" s="7"/>
      <c r="B766" s="7"/>
      <c r="C766" s="7"/>
      <c r="D766" s="7"/>
      <c r="E766" s="7"/>
      <c r="F766" s="7"/>
      <c r="G766" s="7"/>
      <c r="H766" s="7"/>
      <c r="I766" s="7"/>
    </row>
    <row r="767" ht="12.75" customHeight="1">
      <c r="A767" s="7"/>
      <c r="B767" s="7"/>
      <c r="C767" s="7"/>
      <c r="D767" s="7"/>
      <c r="E767" s="7"/>
      <c r="F767" s="7"/>
      <c r="G767" s="7"/>
      <c r="H767" s="7"/>
      <c r="I767" s="7"/>
    </row>
    <row r="768" ht="12.75" customHeight="1">
      <c r="A768" s="7"/>
      <c r="B768" s="7"/>
      <c r="C768" s="7"/>
      <c r="D768" s="7"/>
      <c r="E768" s="7"/>
      <c r="F768" s="7"/>
      <c r="G768" s="7"/>
      <c r="H768" s="7"/>
      <c r="I768" s="7"/>
    </row>
    <row r="769" ht="12.75" customHeight="1">
      <c r="A769" s="7"/>
      <c r="B769" s="7"/>
      <c r="C769" s="7"/>
      <c r="D769" s="7"/>
      <c r="E769" s="7"/>
      <c r="F769" s="7"/>
      <c r="G769" s="7"/>
      <c r="H769" s="7"/>
      <c r="I769" s="7"/>
    </row>
    <row r="770" ht="12.75" customHeight="1">
      <c r="A770" s="7"/>
      <c r="B770" s="7"/>
      <c r="C770" s="7"/>
      <c r="D770" s="7"/>
      <c r="E770" s="7"/>
      <c r="F770" s="7"/>
      <c r="G770" s="7"/>
      <c r="H770" s="7"/>
      <c r="I770" s="7"/>
    </row>
    <row r="771" ht="12.75" customHeight="1">
      <c r="A771" s="7"/>
      <c r="B771" s="7"/>
      <c r="C771" s="7"/>
      <c r="D771" s="7"/>
      <c r="E771" s="7"/>
      <c r="F771" s="7"/>
      <c r="G771" s="7"/>
      <c r="H771" s="7"/>
      <c r="I771" s="7"/>
    </row>
    <row r="772" ht="12.75" customHeight="1">
      <c r="A772" s="7"/>
      <c r="B772" s="7"/>
      <c r="C772" s="7"/>
      <c r="D772" s="7"/>
      <c r="E772" s="7"/>
      <c r="F772" s="7"/>
      <c r="G772" s="7"/>
      <c r="H772" s="7"/>
      <c r="I772" s="7"/>
    </row>
    <row r="773" ht="12.75" customHeight="1">
      <c r="A773" s="7"/>
      <c r="B773" s="7"/>
      <c r="C773" s="7"/>
      <c r="D773" s="7"/>
      <c r="E773" s="7"/>
      <c r="F773" s="7"/>
      <c r="G773" s="7"/>
      <c r="H773" s="7"/>
      <c r="I773" s="7"/>
    </row>
    <row r="774" ht="12.75" customHeight="1">
      <c r="A774" s="7"/>
      <c r="B774" s="7"/>
      <c r="C774" s="7"/>
      <c r="D774" s="7"/>
      <c r="E774" s="7"/>
      <c r="F774" s="7"/>
      <c r="G774" s="7"/>
      <c r="H774" s="7"/>
      <c r="I774" s="7"/>
    </row>
    <row r="775" ht="12.75" customHeight="1">
      <c r="A775" s="7"/>
      <c r="B775" s="7"/>
      <c r="C775" s="7"/>
      <c r="D775" s="7"/>
      <c r="E775" s="7"/>
      <c r="F775" s="7"/>
      <c r="G775" s="7"/>
      <c r="H775" s="7"/>
      <c r="I775" s="7"/>
    </row>
    <row r="776" ht="12.75" customHeight="1">
      <c r="A776" s="7"/>
      <c r="B776" s="7"/>
      <c r="C776" s="7"/>
      <c r="D776" s="7"/>
      <c r="E776" s="7"/>
      <c r="F776" s="7"/>
      <c r="G776" s="7"/>
      <c r="H776" s="7"/>
      <c r="I776" s="7"/>
    </row>
    <row r="777" ht="12.75" customHeight="1">
      <c r="A777" s="7"/>
      <c r="B777" s="7"/>
      <c r="C777" s="7"/>
      <c r="D777" s="7"/>
      <c r="E777" s="7"/>
      <c r="F777" s="7"/>
      <c r="G777" s="7"/>
      <c r="H777" s="7"/>
      <c r="I777" s="7"/>
    </row>
    <row r="778" ht="12.75" customHeight="1">
      <c r="A778" s="7"/>
      <c r="B778" s="7"/>
      <c r="C778" s="7"/>
      <c r="D778" s="7"/>
      <c r="E778" s="7"/>
      <c r="F778" s="7"/>
      <c r="G778" s="7"/>
      <c r="H778" s="7"/>
      <c r="I778" s="7"/>
    </row>
    <row r="779" ht="12.75" customHeight="1">
      <c r="A779" s="7"/>
      <c r="B779" s="7"/>
      <c r="C779" s="7"/>
      <c r="D779" s="7"/>
      <c r="E779" s="7"/>
      <c r="F779" s="7"/>
      <c r="G779" s="7"/>
      <c r="H779" s="7"/>
      <c r="I779" s="7"/>
    </row>
    <row r="780" ht="12.75" customHeight="1">
      <c r="A780" s="7"/>
      <c r="B780" s="7"/>
      <c r="C780" s="7"/>
      <c r="D780" s="7"/>
      <c r="E780" s="7"/>
      <c r="F780" s="7"/>
      <c r="G780" s="7"/>
      <c r="H780" s="7"/>
      <c r="I780" s="7"/>
    </row>
    <row r="781" ht="12.75" customHeight="1">
      <c r="A781" s="7"/>
      <c r="B781" s="7"/>
      <c r="C781" s="7"/>
      <c r="D781" s="7"/>
      <c r="E781" s="7"/>
      <c r="F781" s="7"/>
      <c r="G781" s="7"/>
      <c r="H781" s="7"/>
      <c r="I781" s="7"/>
    </row>
    <row r="782" ht="12.75" customHeight="1">
      <c r="A782" s="7"/>
      <c r="B782" s="7"/>
      <c r="C782" s="7"/>
      <c r="D782" s="7"/>
      <c r="E782" s="7"/>
      <c r="F782" s="7"/>
      <c r="G782" s="7"/>
      <c r="H782" s="7"/>
      <c r="I782" s="7"/>
    </row>
    <row r="783" ht="12.75" customHeight="1">
      <c r="A783" s="7"/>
      <c r="B783" s="7"/>
      <c r="C783" s="7"/>
      <c r="D783" s="7"/>
      <c r="E783" s="7"/>
      <c r="F783" s="7"/>
      <c r="G783" s="7"/>
      <c r="H783" s="7"/>
      <c r="I783" s="7"/>
    </row>
    <row r="784" ht="12.75" customHeight="1">
      <c r="A784" s="7"/>
      <c r="B784" s="7"/>
      <c r="C784" s="7"/>
      <c r="D784" s="7"/>
      <c r="E784" s="7"/>
      <c r="F784" s="7"/>
      <c r="G784" s="7"/>
      <c r="H784" s="7"/>
      <c r="I784" s="7"/>
    </row>
    <row r="785" ht="12.75" customHeight="1">
      <c r="A785" s="7"/>
      <c r="B785" s="7"/>
      <c r="C785" s="7"/>
      <c r="D785" s="7"/>
      <c r="E785" s="7"/>
      <c r="F785" s="7"/>
      <c r="G785" s="7"/>
      <c r="H785" s="7"/>
      <c r="I785" s="7"/>
    </row>
    <row r="786" ht="12.75" customHeight="1">
      <c r="A786" s="7"/>
      <c r="B786" s="7"/>
      <c r="C786" s="7"/>
      <c r="D786" s="7"/>
      <c r="E786" s="7"/>
      <c r="F786" s="7"/>
      <c r="G786" s="7"/>
      <c r="H786" s="7"/>
      <c r="I786" s="7"/>
    </row>
    <row r="787" ht="12.75" customHeight="1">
      <c r="A787" s="7"/>
      <c r="B787" s="7"/>
      <c r="C787" s="7"/>
      <c r="D787" s="7"/>
      <c r="E787" s="7"/>
      <c r="F787" s="7"/>
      <c r="G787" s="7"/>
      <c r="H787" s="7"/>
      <c r="I787" s="7"/>
    </row>
    <row r="788" ht="12.75" customHeight="1">
      <c r="A788" s="7"/>
      <c r="B788" s="7"/>
      <c r="C788" s="7"/>
      <c r="D788" s="7"/>
      <c r="E788" s="7"/>
      <c r="F788" s="7"/>
      <c r="G788" s="7"/>
      <c r="H788" s="7"/>
      <c r="I788" s="7"/>
    </row>
    <row r="789" ht="12.75" customHeight="1">
      <c r="A789" s="7"/>
      <c r="B789" s="7"/>
      <c r="C789" s="7"/>
      <c r="D789" s="7"/>
      <c r="E789" s="7"/>
      <c r="F789" s="7"/>
      <c r="G789" s="7"/>
      <c r="H789" s="7"/>
      <c r="I789" s="7"/>
    </row>
    <row r="790" ht="12.75" customHeight="1">
      <c r="A790" s="7"/>
      <c r="B790" s="7"/>
      <c r="C790" s="7"/>
      <c r="D790" s="7"/>
      <c r="E790" s="7"/>
      <c r="F790" s="7"/>
      <c r="G790" s="7"/>
      <c r="H790" s="7"/>
      <c r="I790" s="7"/>
    </row>
    <row r="791" ht="12.75" customHeight="1">
      <c r="A791" s="7"/>
      <c r="B791" s="7"/>
      <c r="C791" s="7"/>
      <c r="D791" s="7"/>
      <c r="E791" s="7"/>
      <c r="F791" s="7"/>
      <c r="G791" s="7"/>
      <c r="H791" s="7"/>
      <c r="I791" s="7"/>
    </row>
    <row r="792" ht="12.75" customHeight="1">
      <c r="A792" s="7"/>
      <c r="B792" s="7"/>
      <c r="C792" s="7"/>
      <c r="D792" s="7"/>
      <c r="E792" s="7"/>
      <c r="F792" s="7"/>
      <c r="G792" s="7"/>
      <c r="H792" s="7"/>
      <c r="I792" s="7"/>
    </row>
    <row r="793" ht="12.75" customHeight="1">
      <c r="A793" s="7"/>
      <c r="B793" s="7"/>
      <c r="C793" s="7"/>
      <c r="D793" s="7"/>
      <c r="E793" s="7"/>
      <c r="F793" s="7"/>
      <c r="G793" s="7"/>
      <c r="H793" s="7"/>
      <c r="I793" s="7"/>
    </row>
    <row r="794" ht="12.75" customHeight="1">
      <c r="A794" s="7"/>
      <c r="B794" s="7"/>
      <c r="C794" s="7"/>
      <c r="D794" s="7"/>
      <c r="E794" s="7"/>
      <c r="F794" s="7"/>
      <c r="G794" s="7"/>
      <c r="H794" s="7"/>
      <c r="I794" s="7"/>
    </row>
    <row r="795" ht="12.75" customHeight="1">
      <c r="A795" s="7"/>
      <c r="B795" s="7"/>
      <c r="C795" s="7"/>
      <c r="D795" s="7"/>
      <c r="E795" s="7"/>
      <c r="F795" s="7"/>
      <c r="G795" s="7"/>
      <c r="H795" s="7"/>
      <c r="I795" s="7"/>
    </row>
    <row r="796" ht="12.75" customHeight="1">
      <c r="A796" s="7"/>
      <c r="B796" s="7"/>
      <c r="C796" s="7"/>
      <c r="D796" s="7"/>
      <c r="E796" s="7"/>
      <c r="F796" s="7"/>
      <c r="G796" s="7"/>
      <c r="H796" s="7"/>
      <c r="I796" s="7"/>
    </row>
    <row r="797" ht="12.75" customHeight="1">
      <c r="A797" s="7"/>
      <c r="B797" s="7"/>
      <c r="C797" s="7"/>
      <c r="D797" s="7"/>
      <c r="E797" s="7"/>
      <c r="F797" s="7"/>
      <c r="G797" s="7"/>
      <c r="H797" s="7"/>
      <c r="I797" s="7"/>
    </row>
    <row r="798" ht="12.75" customHeight="1">
      <c r="A798" s="7"/>
      <c r="B798" s="7"/>
      <c r="C798" s="7"/>
      <c r="D798" s="7"/>
      <c r="E798" s="7"/>
      <c r="F798" s="7"/>
      <c r="G798" s="7"/>
      <c r="H798" s="7"/>
      <c r="I798" s="7"/>
    </row>
    <row r="799" ht="12.75" customHeight="1">
      <c r="A799" s="7"/>
      <c r="B799" s="7"/>
      <c r="C799" s="7"/>
      <c r="D799" s="7"/>
      <c r="E799" s="7"/>
      <c r="F799" s="7"/>
      <c r="G799" s="7"/>
      <c r="H799" s="7"/>
      <c r="I799" s="7"/>
    </row>
    <row r="800" ht="12.75" customHeight="1">
      <c r="A800" s="7"/>
      <c r="B800" s="7"/>
      <c r="C800" s="7"/>
      <c r="D800" s="7"/>
      <c r="E800" s="7"/>
      <c r="F800" s="7"/>
      <c r="G800" s="7"/>
      <c r="H800" s="7"/>
      <c r="I800" s="7"/>
    </row>
    <row r="801" ht="12.75" customHeight="1">
      <c r="A801" s="7"/>
      <c r="B801" s="7"/>
      <c r="C801" s="7"/>
      <c r="D801" s="7"/>
      <c r="E801" s="7"/>
      <c r="F801" s="7"/>
      <c r="G801" s="7"/>
      <c r="H801" s="7"/>
      <c r="I801" s="7"/>
    </row>
    <row r="802" ht="12.75" customHeight="1">
      <c r="A802" s="7"/>
      <c r="B802" s="7"/>
      <c r="C802" s="7"/>
      <c r="D802" s="7"/>
      <c r="E802" s="7"/>
      <c r="F802" s="7"/>
      <c r="G802" s="7"/>
      <c r="H802" s="7"/>
      <c r="I802" s="7"/>
    </row>
    <row r="803" ht="12.75" customHeight="1">
      <c r="A803" s="7"/>
      <c r="B803" s="7"/>
      <c r="C803" s="7"/>
      <c r="D803" s="7"/>
      <c r="E803" s="7"/>
      <c r="F803" s="7"/>
      <c r="G803" s="7"/>
      <c r="H803" s="7"/>
      <c r="I803" s="7"/>
    </row>
    <row r="804" ht="12.75" customHeight="1">
      <c r="A804" s="7"/>
      <c r="B804" s="7"/>
      <c r="C804" s="7"/>
      <c r="D804" s="7"/>
      <c r="E804" s="7"/>
      <c r="F804" s="7"/>
      <c r="G804" s="7"/>
      <c r="H804" s="7"/>
      <c r="I804" s="7"/>
    </row>
    <row r="805" ht="12.75" customHeight="1">
      <c r="A805" s="7"/>
      <c r="B805" s="7"/>
      <c r="C805" s="7"/>
      <c r="D805" s="7"/>
      <c r="E805" s="7"/>
      <c r="F805" s="7"/>
      <c r="G805" s="7"/>
      <c r="H805" s="7"/>
      <c r="I805" s="7"/>
    </row>
    <row r="806" ht="12.75" customHeight="1">
      <c r="A806" s="7"/>
      <c r="B806" s="7"/>
      <c r="C806" s="7"/>
      <c r="D806" s="7"/>
      <c r="E806" s="7"/>
      <c r="F806" s="7"/>
      <c r="G806" s="7"/>
      <c r="H806" s="7"/>
      <c r="I806" s="7"/>
    </row>
    <row r="807" ht="12.75" customHeight="1">
      <c r="A807" s="7"/>
      <c r="B807" s="7"/>
      <c r="C807" s="7"/>
      <c r="D807" s="7"/>
      <c r="E807" s="7"/>
      <c r="F807" s="7"/>
      <c r="G807" s="7"/>
      <c r="H807" s="7"/>
      <c r="I807" s="7"/>
    </row>
    <row r="808" ht="12.75" customHeight="1">
      <c r="A808" s="7"/>
      <c r="B808" s="7"/>
      <c r="C808" s="7"/>
      <c r="D808" s="7"/>
      <c r="E808" s="7"/>
      <c r="F808" s="7"/>
      <c r="G808" s="7"/>
      <c r="H808" s="7"/>
      <c r="I808" s="7"/>
    </row>
    <row r="809" ht="12.75" customHeight="1">
      <c r="A809" s="7"/>
      <c r="B809" s="7"/>
      <c r="C809" s="7"/>
      <c r="D809" s="7"/>
      <c r="E809" s="7"/>
      <c r="F809" s="7"/>
      <c r="G809" s="7"/>
      <c r="H809" s="7"/>
      <c r="I809" s="7"/>
    </row>
    <row r="810" ht="12.75" customHeight="1">
      <c r="A810" s="7"/>
      <c r="B810" s="7"/>
      <c r="C810" s="7"/>
      <c r="D810" s="7"/>
      <c r="E810" s="7"/>
      <c r="F810" s="7"/>
      <c r="G810" s="7"/>
      <c r="H810" s="7"/>
      <c r="I810" s="7"/>
    </row>
    <row r="811" ht="12.75" customHeight="1">
      <c r="A811" s="7"/>
      <c r="B811" s="7"/>
      <c r="C811" s="7"/>
      <c r="D811" s="7"/>
      <c r="E811" s="7"/>
      <c r="F811" s="7"/>
      <c r="G811" s="7"/>
      <c r="H811" s="7"/>
      <c r="I811" s="7"/>
    </row>
    <row r="812" ht="12.75" customHeight="1">
      <c r="A812" s="7"/>
      <c r="B812" s="7"/>
      <c r="C812" s="7"/>
      <c r="D812" s="7"/>
      <c r="E812" s="7"/>
      <c r="F812" s="7"/>
      <c r="G812" s="7"/>
      <c r="H812" s="7"/>
      <c r="I812" s="7"/>
    </row>
    <row r="813" ht="12.75" customHeight="1">
      <c r="A813" s="7"/>
      <c r="B813" s="7"/>
      <c r="C813" s="7"/>
      <c r="D813" s="7"/>
      <c r="E813" s="7"/>
      <c r="F813" s="7"/>
      <c r="G813" s="7"/>
      <c r="H813" s="7"/>
      <c r="I813" s="7"/>
    </row>
    <row r="814" ht="12.75" customHeight="1">
      <c r="A814" s="7"/>
      <c r="B814" s="7"/>
      <c r="C814" s="7"/>
      <c r="D814" s="7"/>
      <c r="E814" s="7"/>
      <c r="F814" s="7"/>
      <c r="G814" s="7"/>
      <c r="H814" s="7"/>
      <c r="I814" s="7"/>
    </row>
    <row r="815" ht="12.75" customHeight="1">
      <c r="A815" s="7"/>
      <c r="B815" s="7"/>
      <c r="C815" s="7"/>
      <c r="D815" s="7"/>
      <c r="E815" s="7"/>
      <c r="F815" s="7"/>
      <c r="G815" s="7"/>
      <c r="H815" s="7"/>
      <c r="I815" s="7"/>
    </row>
    <row r="816" ht="12.75" customHeight="1">
      <c r="A816" s="7"/>
      <c r="B816" s="7"/>
      <c r="C816" s="7"/>
      <c r="D816" s="7"/>
      <c r="E816" s="7"/>
      <c r="F816" s="7"/>
      <c r="G816" s="7"/>
      <c r="H816" s="7"/>
      <c r="I816" s="7"/>
    </row>
    <row r="817" ht="12.75" customHeight="1">
      <c r="A817" s="7"/>
      <c r="B817" s="7"/>
      <c r="C817" s="7"/>
      <c r="D817" s="7"/>
      <c r="E817" s="7"/>
      <c r="F817" s="7"/>
      <c r="G817" s="7"/>
      <c r="H817" s="7"/>
      <c r="I817" s="7"/>
    </row>
    <row r="818" ht="12.75" customHeight="1">
      <c r="A818" s="7"/>
      <c r="B818" s="7"/>
      <c r="C818" s="7"/>
      <c r="D818" s="7"/>
      <c r="E818" s="7"/>
      <c r="F818" s="7"/>
      <c r="G818" s="7"/>
      <c r="H818" s="7"/>
      <c r="I818" s="7"/>
    </row>
    <row r="819" ht="12.75" customHeight="1">
      <c r="A819" s="7"/>
      <c r="B819" s="7"/>
      <c r="C819" s="7"/>
      <c r="D819" s="7"/>
      <c r="E819" s="7"/>
      <c r="F819" s="7"/>
      <c r="G819" s="7"/>
      <c r="H819" s="7"/>
      <c r="I819" s="7"/>
    </row>
    <row r="820" ht="12.75" customHeight="1">
      <c r="A820" s="7"/>
      <c r="B820" s="7"/>
      <c r="C820" s="7"/>
      <c r="D820" s="7"/>
      <c r="E820" s="7"/>
      <c r="F820" s="7"/>
      <c r="G820" s="7"/>
      <c r="H820" s="7"/>
      <c r="I820" s="7"/>
    </row>
    <row r="821" ht="12.75" customHeight="1">
      <c r="A821" s="7"/>
      <c r="B821" s="7"/>
      <c r="C821" s="7"/>
      <c r="D821" s="7"/>
      <c r="E821" s="7"/>
      <c r="F821" s="7"/>
      <c r="G821" s="7"/>
      <c r="H821" s="7"/>
      <c r="I821" s="7"/>
    </row>
    <row r="822" ht="12.75" customHeight="1">
      <c r="A822" s="7"/>
      <c r="B822" s="7"/>
      <c r="C822" s="7"/>
      <c r="D822" s="7"/>
      <c r="E822" s="7"/>
      <c r="F822" s="7"/>
      <c r="G822" s="7"/>
      <c r="H822" s="7"/>
      <c r="I822" s="7"/>
    </row>
    <row r="823" ht="12.75" customHeight="1">
      <c r="A823" s="7"/>
      <c r="B823" s="7"/>
      <c r="C823" s="7"/>
      <c r="D823" s="7"/>
      <c r="E823" s="7"/>
      <c r="F823" s="7"/>
      <c r="G823" s="7"/>
      <c r="H823" s="7"/>
      <c r="I823" s="7"/>
    </row>
    <row r="824" ht="12.75" customHeight="1">
      <c r="A824" s="7"/>
      <c r="B824" s="7"/>
      <c r="C824" s="7"/>
      <c r="D824" s="7"/>
      <c r="E824" s="7"/>
      <c r="F824" s="7"/>
      <c r="G824" s="7"/>
      <c r="H824" s="7"/>
      <c r="I824" s="7"/>
    </row>
    <row r="825" ht="12.75" customHeight="1">
      <c r="A825" s="7"/>
      <c r="B825" s="7"/>
      <c r="C825" s="7"/>
      <c r="D825" s="7"/>
      <c r="E825" s="7"/>
      <c r="F825" s="7"/>
      <c r="G825" s="7"/>
      <c r="H825" s="7"/>
      <c r="I825" s="7"/>
    </row>
    <row r="826" ht="12.75" customHeight="1">
      <c r="A826" s="7"/>
      <c r="B826" s="7"/>
      <c r="C826" s="7"/>
      <c r="D826" s="7"/>
      <c r="E826" s="7"/>
      <c r="F826" s="7"/>
      <c r="G826" s="7"/>
      <c r="H826" s="7"/>
      <c r="I826" s="7"/>
    </row>
    <row r="827" ht="12.75" customHeight="1">
      <c r="A827" s="7"/>
      <c r="B827" s="7"/>
      <c r="C827" s="7"/>
      <c r="D827" s="7"/>
      <c r="E827" s="7"/>
      <c r="F827" s="7"/>
      <c r="G827" s="7"/>
      <c r="H827" s="7"/>
      <c r="I827" s="7"/>
    </row>
    <row r="828" ht="12.75" customHeight="1">
      <c r="A828" s="7"/>
      <c r="B828" s="7"/>
      <c r="C828" s="7"/>
      <c r="D828" s="7"/>
      <c r="E828" s="7"/>
      <c r="F828" s="7"/>
      <c r="G828" s="7"/>
      <c r="H828" s="7"/>
      <c r="I828" s="7"/>
    </row>
    <row r="829" ht="12.75" customHeight="1">
      <c r="A829" s="7"/>
      <c r="B829" s="7"/>
      <c r="C829" s="7"/>
      <c r="D829" s="7"/>
      <c r="E829" s="7"/>
      <c r="F829" s="7"/>
      <c r="G829" s="7"/>
      <c r="H829" s="7"/>
      <c r="I829" s="7"/>
    </row>
    <row r="830" ht="12.75" customHeight="1">
      <c r="A830" s="7"/>
      <c r="B830" s="7"/>
      <c r="C830" s="7"/>
      <c r="D830" s="7"/>
      <c r="E830" s="7"/>
      <c r="F830" s="7"/>
      <c r="G830" s="7"/>
      <c r="H830" s="7"/>
      <c r="I830" s="7"/>
    </row>
    <row r="831" ht="12.75" customHeight="1">
      <c r="A831" s="7"/>
      <c r="B831" s="7"/>
      <c r="C831" s="7"/>
      <c r="D831" s="7"/>
      <c r="E831" s="7"/>
      <c r="F831" s="7"/>
      <c r="G831" s="7"/>
      <c r="H831" s="7"/>
      <c r="I831" s="7"/>
    </row>
    <row r="832" ht="12.75" customHeight="1">
      <c r="A832" s="7"/>
      <c r="B832" s="7"/>
      <c r="C832" s="7"/>
      <c r="D832" s="7"/>
      <c r="E832" s="7"/>
      <c r="F832" s="7"/>
      <c r="G832" s="7"/>
      <c r="H832" s="7"/>
      <c r="I832" s="7"/>
    </row>
    <row r="833" ht="12.75" customHeight="1">
      <c r="A833" s="7"/>
      <c r="B833" s="7"/>
      <c r="C833" s="7"/>
      <c r="D833" s="7"/>
      <c r="E833" s="7"/>
      <c r="F833" s="7"/>
      <c r="G833" s="7"/>
      <c r="H833" s="7"/>
      <c r="I833" s="7"/>
    </row>
    <row r="834" ht="12.75" customHeight="1">
      <c r="A834" s="7"/>
      <c r="B834" s="7"/>
      <c r="C834" s="7"/>
      <c r="D834" s="7"/>
      <c r="E834" s="7"/>
      <c r="F834" s="7"/>
      <c r="G834" s="7"/>
      <c r="H834" s="7"/>
      <c r="I834" s="7"/>
    </row>
    <row r="835" ht="12.75" customHeight="1">
      <c r="A835" s="7"/>
      <c r="B835" s="7"/>
      <c r="C835" s="7"/>
      <c r="D835" s="7"/>
      <c r="E835" s="7"/>
      <c r="F835" s="7"/>
      <c r="G835" s="7"/>
      <c r="H835" s="7"/>
      <c r="I835" s="7"/>
    </row>
    <row r="836" ht="12.75" customHeight="1">
      <c r="A836" s="7"/>
      <c r="B836" s="7"/>
      <c r="C836" s="7"/>
      <c r="D836" s="7"/>
      <c r="E836" s="7"/>
      <c r="F836" s="7"/>
      <c r="G836" s="7"/>
      <c r="H836" s="7"/>
      <c r="I836" s="7"/>
    </row>
    <row r="837" ht="12.75" customHeight="1">
      <c r="A837" s="7"/>
      <c r="B837" s="7"/>
      <c r="C837" s="7"/>
      <c r="D837" s="7"/>
      <c r="E837" s="7"/>
      <c r="F837" s="7"/>
      <c r="G837" s="7"/>
      <c r="H837" s="7"/>
      <c r="I837" s="7"/>
    </row>
    <row r="838" ht="12.75" customHeight="1">
      <c r="A838" s="7"/>
      <c r="B838" s="7"/>
      <c r="C838" s="7"/>
      <c r="D838" s="7"/>
      <c r="E838" s="7"/>
      <c r="F838" s="7"/>
      <c r="G838" s="7"/>
      <c r="H838" s="7"/>
      <c r="I838" s="7"/>
    </row>
    <row r="839" ht="12.75" customHeight="1">
      <c r="A839" s="7"/>
      <c r="B839" s="7"/>
      <c r="C839" s="7"/>
      <c r="D839" s="7"/>
      <c r="E839" s="7"/>
      <c r="F839" s="7"/>
      <c r="G839" s="7"/>
      <c r="H839" s="7"/>
      <c r="I839" s="7"/>
    </row>
    <row r="840" ht="12.75" customHeight="1">
      <c r="A840" s="7"/>
      <c r="B840" s="7"/>
      <c r="C840" s="7"/>
      <c r="D840" s="7"/>
      <c r="E840" s="7"/>
      <c r="F840" s="7"/>
      <c r="G840" s="7"/>
      <c r="H840" s="7"/>
      <c r="I840" s="7"/>
    </row>
    <row r="841" ht="12.75" customHeight="1">
      <c r="A841" s="7"/>
      <c r="B841" s="7"/>
      <c r="C841" s="7"/>
      <c r="D841" s="7"/>
      <c r="E841" s="7"/>
      <c r="F841" s="7"/>
      <c r="G841" s="7"/>
      <c r="H841" s="7"/>
      <c r="I841" s="7"/>
    </row>
    <row r="842" ht="12.75" customHeight="1">
      <c r="A842" s="7"/>
      <c r="B842" s="7"/>
      <c r="C842" s="7"/>
      <c r="D842" s="7"/>
      <c r="E842" s="7"/>
      <c r="F842" s="7"/>
      <c r="G842" s="7"/>
      <c r="H842" s="7"/>
      <c r="I842" s="7"/>
    </row>
    <row r="843" ht="12.75" customHeight="1">
      <c r="A843" s="7"/>
      <c r="B843" s="7"/>
      <c r="C843" s="7"/>
      <c r="D843" s="7"/>
      <c r="E843" s="7"/>
      <c r="F843" s="7"/>
      <c r="G843" s="7"/>
      <c r="H843" s="7"/>
      <c r="I843" s="7"/>
    </row>
    <row r="844" ht="12.75" customHeight="1">
      <c r="A844" s="7"/>
      <c r="B844" s="7"/>
      <c r="C844" s="7"/>
      <c r="D844" s="7"/>
      <c r="E844" s="7"/>
      <c r="F844" s="7"/>
      <c r="G844" s="7"/>
      <c r="H844" s="7"/>
      <c r="I844" s="7"/>
    </row>
    <row r="845" ht="12.75" customHeight="1">
      <c r="A845" s="7"/>
      <c r="B845" s="7"/>
      <c r="C845" s="7"/>
      <c r="D845" s="7"/>
      <c r="E845" s="7"/>
      <c r="F845" s="7"/>
      <c r="G845" s="7"/>
      <c r="H845" s="7"/>
      <c r="I845" s="7"/>
    </row>
    <row r="846" ht="12.75" customHeight="1">
      <c r="A846" s="7"/>
      <c r="B846" s="7"/>
      <c r="C846" s="7"/>
      <c r="D846" s="7"/>
      <c r="E846" s="7"/>
      <c r="F846" s="7"/>
      <c r="G846" s="7"/>
      <c r="H846" s="7"/>
      <c r="I846" s="7"/>
    </row>
    <row r="847" ht="12.75" customHeight="1">
      <c r="A847" s="7"/>
      <c r="B847" s="7"/>
      <c r="C847" s="7"/>
      <c r="D847" s="7"/>
      <c r="E847" s="7"/>
      <c r="F847" s="7"/>
      <c r="G847" s="7"/>
      <c r="H847" s="7"/>
      <c r="I847" s="7"/>
    </row>
    <row r="848" ht="12.75" customHeight="1">
      <c r="A848" s="7"/>
      <c r="B848" s="7"/>
      <c r="C848" s="7"/>
      <c r="D848" s="7"/>
      <c r="E848" s="7"/>
      <c r="F848" s="7"/>
      <c r="G848" s="7"/>
      <c r="H848" s="7"/>
      <c r="I848" s="7"/>
    </row>
    <row r="849" ht="12.75" customHeight="1">
      <c r="A849" s="7"/>
      <c r="B849" s="7"/>
      <c r="C849" s="7"/>
      <c r="D849" s="7"/>
      <c r="E849" s="7"/>
      <c r="F849" s="7"/>
      <c r="G849" s="7"/>
      <c r="H849" s="7"/>
      <c r="I849" s="7"/>
    </row>
    <row r="850" ht="12.75" customHeight="1">
      <c r="A850" s="7"/>
      <c r="B850" s="7"/>
      <c r="C850" s="7"/>
      <c r="D850" s="7"/>
      <c r="E850" s="7"/>
      <c r="F850" s="7"/>
      <c r="G850" s="7"/>
      <c r="H850" s="7"/>
      <c r="I850" s="7"/>
    </row>
    <row r="851" ht="12.75" customHeight="1">
      <c r="A851" s="7"/>
      <c r="B851" s="7"/>
      <c r="C851" s="7"/>
      <c r="D851" s="7"/>
      <c r="E851" s="7"/>
      <c r="F851" s="7"/>
      <c r="G851" s="7"/>
      <c r="H851" s="7"/>
      <c r="I851" s="7"/>
    </row>
    <row r="852" ht="12.75" customHeight="1">
      <c r="A852" s="7"/>
      <c r="B852" s="7"/>
      <c r="C852" s="7"/>
      <c r="D852" s="7"/>
      <c r="E852" s="7"/>
      <c r="F852" s="7"/>
      <c r="G852" s="7"/>
      <c r="H852" s="7"/>
      <c r="I852" s="7"/>
    </row>
    <row r="853" ht="12.75" customHeight="1">
      <c r="A853" s="7"/>
      <c r="B853" s="7"/>
      <c r="C853" s="7"/>
      <c r="D853" s="7"/>
      <c r="E853" s="7"/>
      <c r="F853" s="7"/>
      <c r="G853" s="7"/>
      <c r="H853" s="7"/>
      <c r="I853" s="7"/>
    </row>
    <row r="854" ht="12.75" customHeight="1">
      <c r="A854" s="7"/>
      <c r="B854" s="7"/>
      <c r="C854" s="7"/>
      <c r="D854" s="7"/>
      <c r="E854" s="7"/>
      <c r="F854" s="7"/>
      <c r="G854" s="7"/>
      <c r="H854" s="7"/>
      <c r="I854" s="7"/>
    </row>
    <row r="855" ht="12.75" customHeight="1">
      <c r="A855" s="7"/>
      <c r="B855" s="7"/>
      <c r="C855" s="7"/>
      <c r="D855" s="7"/>
      <c r="E855" s="7"/>
      <c r="F855" s="7"/>
      <c r="G855" s="7"/>
      <c r="H855" s="7"/>
      <c r="I855" s="7"/>
    </row>
    <row r="856" ht="12.75" customHeight="1">
      <c r="A856" s="7"/>
      <c r="B856" s="7"/>
      <c r="C856" s="7"/>
      <c r="D856" s="7"/>
      <c r="E856" s="7"/>
      <c r="F856" s="7"/>
      <c r="G856" s="7"/>
      <c r="H856" s="7"/>
      <c r="I856" s="7"/>
    </row>
    <row r="857" ht="12.75" customHeight="1">
      <c r="A857" s="7"/>
      <c r="B857" s="7"/>
      <c r="C857" s="7"/>
      <c r="D857" s="7"/>
      <c r="E857" s="7"/>
      <c r="F857" s="7"/>
      <c r="G857" s="7"/>
      <c r="H857" s="7"/>
      <c r="I857" s="7"/>
    </row>
    <row r="858" ht="12.75" customHeight="1">
      <c r="A858" s="7"/>
      <c r="B858" s="7"/>
      <c r="C858" s="7"/>
      <c r="D858" s="7"/>
      <c r="E858" s="7"/>
      <c r="F858" s="7"/>
      <c r="G858" s="7"/>
      <c r="H858" s="7"/>
      <c r="I858" s="7"/>
    </row>
    <row r="859" ht="12.75" customHeight="1">
      <c r="A859" s="7"/>
      <c r="B859" s="7"/>
      <c r="C859" s="7"/>
      <c r="D859" s="7"/>
      <c r="E859" s="7"/>
      <c r="F859" s="7"/>
      <c r="G859" s="7"/>
      <c r="H859" s="7"/>
      <c r="I859" s="7"/>
    </row>
    <row r="860" ht="12.75" customHeight="1">
      <c r="A860" s="7"/>
      <c r="B860" s="7"/>
      <c r="C860" s="7"/>
      <c r="D860" s="7"/>
      <c r="E860" s="7"/>
      <c r="F860" s="7"/>
      <c r="G860" s="7"/>
      <c r="H860" s="7"/>
      <c r="I860" s="7"/>
    </row>
    <row r="861" ht="12.75" customHeight="1">
      <c r="A861" s="7"/>
      <c r="B861" s="7"/>
      <c r="C861" s="7"/>
      <c r="D861" s="7"/>
      <c r="E861" s="7"/>
      <c r="F861" s="7"/>
      <c r="G861" s="7"/>
      <c r="H861" s="7"/>
      <c r="I861" s="7"/>
    </row>
    <row r="862" ht="12.75" customHeight="1">
      <c r="A862" s="7"/>
      <c r="B862" s="7"/>
      <c r="C862" s="7"/>
      <c r="D862" s="7"/>
      <c r="E862" s="7"/>
      <c r="F862" s="7"/>
      <c r="G862" s="7"/>
      <c r="H862" s="7"/>
      <c r="I862" s="7"/>
    </row>
    <row r="863" ht="12.75" customHeight="1">
      <c r="A863" s="7"/>
      <c r="B863" s="7"/>
      <c r="C863" s="7"/>
      <c r="D863" s="7"/>
      <c r="E863" s="7"/>
      <c r="F863" s="7"/>
      <c r="G863" s="7"/>
      <c r="H863" s="7"/>
      <c r="I863" s="7"/>
    </row>
    <row r="864" ht="12.75" customHeight="1">
      <c r="A864" s="7"/>
      <c r="B864" s="7"/>
      <c r="C864" s="7"/>
      <c r="D864" s="7"/>
      <c r="E864" s="7"/>
      <c r="F864" s="7"/>
      <c r="G864" s="7"/>
      <c r="H864" s="7"/>
      <c r="I864" s="7"/>
    </row>
    <row r="865" ht="12.75" customHeight="1">
      <c r="A865" s="7"/>
      <c r="B865" s="7"/>
      <c r="C865" s="7"/>
      <c r="D865" s="7"/>
      <c r="E865" s="7"/>
      <c r="F865" s="7"/>
      <c r="G865" s="7"/>
      <c r="H865" s="7"/>
      <c r="I865" s="7"/>
    </row>
    <row r="866" ht="12.75" customHeight="1">
      <c r="A866" s="7"/>
      <c r="B866" s="7"/>
      <c r="C866" s="7"/>
      <c r="D866" s="7"/>
      <c r="E866" s="7"/>
      <c r="F866" s="7"/>
      <c r="G866" s="7"/>
      <c r="H866" s="7"/>
      <c r="I866" s="7"/>
    </row>
    <row r="867" ht="12.75" customHeight="1">
      <c r="A867" s="7"/>
      <c r="B867" s="7"/>
      <c r="C867" s="7"/>
      <c r="D867" s="7"/>
      <c r="E867" s="7"/>
      <c r="F867" s="7"/>
      <c r="G867" s="7"/>
      <c r="H867" s="7"/>
      <c r="I867" s="7"/>
    </row>
    <row r="868" ht="12.75" customHeight="1">
      <c r="A868" s="7"/>
      <c r="B868" s="7"/>
      <c r="C868" s="7"/>
      <c r="D868" s="7"/>
      <c r="E868" s="7"/>
      <c r="F868" s="7"/>
      <c r="G868" s="7"/>
      <c r="H868" s="7"/>
      <c r="I868" s="7"/>
    </row>
    <row r="869" ht="12.75" customHeight="1">
      <c r="A869" s="7"/>
      <c r="B869" s="7"/>
      <c r="C869" s="7"/>
      <c r="D869" s="7"/>
      <c r="E869" s="7"/>
      <c r="F869" s="7"/>
      <c r="G869" s="7"/>
      <c r="H869" s="7"/>
      <c r="I869" s="7"/>
    </row>
    <row r="870" ht="12.75" customHeight="1">
      <c r="A870" s="7"/>
      <c r="B870" s="7"/>
      <c r="C870" s="7"/>
      <c r="D870" s="7"/>
      <c r="E870" s="7"/>
      <c r="F870" s="7"/>
      <c r="G870" s="7"/>
      <c r="H870" s="7"/>
      <c r="I870" s="7"/>
    </row>
    <row r="871" ht="12.75" customHeight="1">
      <c r="A871" s="7"/>
      <c r="B871" s="7"/>
      <c r="C871" s="7"/>
      <c r="D871" s="7"/>
      <c r="E871" s="7"/>
      <c r="F871" s="7"/>
      <c r="G871" s="7"/>
      <c r="H871" s="7"/>
      <c r="I871" s="7"/>
    </row>
    <row r="872" ht="12.75" customHeight="1">
      <c r="A872" s="7"/>
      <c r="B872" s="7"/>
      <c r="C872" s="7"/>
      <c r="D872" s="7"/>
      <c r="E872" s="7"/>
      <c r="F872" s="7"/>
      <c r="G872" s="7"/>
      <c r="H872" s="7"/>
      <c r="I872" s="7"/>
    </row>
    <row r="873" ht="12.75" customHeight="1">
      <c r="A873" s="7"/>
      <c r="B873" s="7"/>
      <c r="C873" s="7"/>
      <c r="D873" s="7"/>
      <c r="E873" s="7"/>
      <c r="F873" s="7"/>
      <c r="G873" s="7"/>
      <c r="H873" s="7"/>
      <c r="I873" s="7"/>
    </row>
    <row r="874" ht="12.75" customHeight="1">
      <c r="A874" s="7"/>
      <c r="B874" s="7"/>
      <c r="C874" s="7"/>
      <c r="D874" s="7"/>
      <c r="E874" s="7"/>
      <c r="F874" s="7"/>
      <c r="G874" s="7"/>
      <c r="H874" s="7"/>
      <c r="I874" s="7"/>
    </row>
    <row r="875" ht="12.75" customHeight="1">
      <c r="A875" s="7"/>
      <c r="B875" s="7"/>
      <c r="C875" s="7"/>
      <c r="D875" s="7"/>
      <c r="E875" s="7"/>
      <c r="F875" s="7"/>
      <c r="G875" s="7"/>
      <c r="H875" s="7"/>
      <c r="I875" s="7"/>
    </row>
    <row r="876" ht="12.75" customHeight="1">
      <c r="A876" s="7"/>
      <c r="B876" s="7"/>
      <c r="C876" s="7"/>
      <c r="D876" s="7"/>
      <c r="E876" s="7"/>
      <c r="F876" s="7"/>
      <c r="G876" s="7"/>
      <c r="H876" s="7"/>
      <c r="I876" s="7"/>
    </row>
    <row r="877" ht="12.75" customHeight="1">
      <c r="A877" s="7"/>
      <c r="B877" s="7"/>
      <c r="C877" s="7"/>
      <c r="D877" s="7"/>
      <c r="E877" s="7"/>
      <c r="F877" s="7"/>
      <c r="G877" s="7"/>
      <c r="H877" s="7"/>
      <c r="I877" s="7"/>
    </row>
    <row r="878" ht="12.75" customHeight="1">
      <c r="A878" s="7"/>
      <c r="B878" s="7"/>
      <c r="C878" s="7"/>
      <c r="D878" s="7"/>
      <c r="E878" s="7"/>
      <c r="F878" s="7"/>
      <c r="G878" s="7"/>
      <c r="H878" s="7"/>
      <c r="I878" s="7"/>
    </row>
    <row r="879" ht="12.75" customHeight="1">
      <c r="A879" s="7"/>
      <c r="B879" s="7"/>
      <c r="C879" s="7"/>
      <c r="D879" s="7"/>
      <c r="E879" s="7"/>
      <c r="F879" s="7"/>
      <c r="G879" s="7"/>
      <c r="H879" s="7"/>
      <c r="I879" s="7"/>
    </row>
    <row r="880" ht="12.75" customHeight="1">
      <c r="A880" s="7"/>
      <c r="B880" s="7"/>
      <c r="C880" s="7"/>
      <c r="D880" s="7"/>
      <c r="E880" s="7"/>
      <c r="F880" s="7"/>
      <c r="G880" s="7"/>
      <c r="H880" s="7"/>
      <c r="I880" s="7"/>
    </row>
    <row r="881" ht="12.75" customHeight="1">
      <c r="A881" s="7"/>
      <c r="B881" s="7"/>
      <c r="C881" s="7"/>
      <c r="D881" s="7"/>
      <c r="E881" s="7"/>
      <c r="F881" s="7"/>
      <c r="G881" s="7"/>
      <c r="H881" s="7"/>
      <c r="I881" s="7"/>
    </row>
    <row r="882" ht="12.75" customHeight="1">
      <c r="A882" s="7"/>
      <c r="B882" s="7"/>
      <c r="C882" s="7"/>
      <c r="D882" s="7"/>
      <c r="E882" s="7"/>
      <c r="F882" s="7"/>
      <c r="G882" s="7"/>
      <c r="H882" s="7"/>
      <c r="I882" s="7"/>
    </row>
    <row r="883" ht="12.75" customHeight="1">
      <c r="A883" s="7"/>
      <c r="B883" s="7"/>
      <c r="C883" s="7"/>
      <c r="D883" s="7"/>
      <c r="E883" s="7"/>
      <c r="F883" s="7"/>
      <c r="G883" s="7"/>
      <c r="H883" s="7"/>
      <c r="I883" s="7"/>
    </row>
    <row r="884" ht="12.75" customHeight="1">
      <c r="A884" s="7"/>
      <c r="B884" s="7"/>
      <c r="C884" s="7"/>
      <c r="D884" s="7"/>
      <c r="E884" s="7"/>
      <c r="F884" s="7"/>
      <c r="G884" s="7"/>
      <c r="H884" s="7"/>
      <c r="I884" s="7"/>
    </row>
    <row r="885" ht="12.75" customHeight="1">
      <c r="A885" s="7"/>
      <c r="B885" s="7"/>
      <c r="C885" s="7"/>
      <c r="D885" s="7"/>
      <c r="E885" s="7"/>
      <c r="F885" s="7"/>
      <c r="G885" s="7"/>
      <c r="H885" s="7"/>
      <c r="I885" s="7"/>
    </row>
    <row r="886" ht="12.75" customHeight="1">
      <c r="A886" s="7"/>
      <c r="B886" s="7"/>
      <c r="C886" s="7"/>
      <c r="D886" s="7"/>
      <c r="E886" s="7"/>
      <c r="F886" s="7"/>
      <c r="G886" s="7"/>
      <c r="H886" s="7"/>
      <c r="I886" s="7"/>
    </row>
    <row r="887" ht="12.75" customHeight="1">
      <c r="A887" s="7"/>
      <c r="B887" s="7"/>
      <c r="C887" s="7"/>
      <c r="D887" s="7"/>
      <c r="E887" s="7"/>
      <c r="F887" s="7"/>
      <c r="G887" s="7"/>
      <c r="H887" s="7"/>
      <c r="I887" s="7"/>
    </row>
    <row r="888" ht="12.75" customHeight="1">
      <c r="A888" s="7"/>
      <c r="B888" s="7"/>
      <c r="C888" s="7"/>
      <c r="D888" s="7"/>
      <c r="E888" s="7"/>
      <c r="F888" s="7"/>
      <c r="G888" s="7"/>
      <c r="H888" s="7"/>
      <c r="I888" s="7"/>
    </row>
    <row r="889" ht="12.75" customHeight="1">
      <c r="A889" s="7"/>
      <c r="B889" s="7"/>
      <c r="C889" s="7"/>
      <c r="D889" s="7"/>
      <c r="E889" s="7"/>
      <c r="F889" s="7"/>
      <c r="G889" s="7"/>
      <c r="H889" s="7"/>
      <c r="I889" s="7"/>
    </row>
    <row r="890" ht="12.75" customHeight="1">
      <c r="A890" s="7"/>
      <c r="B890" s="7"/>
      <c r="C890" s="7"/>
      <c r="D890" s="7"/>
      <c r="E890" s="7"/>
      <c r="F890" s="7"/>
      <c r="G890" s="7"/>
      <c r="H890" s="7"/>
      <c r="I890" s="7"/>
    </row>
    <row r="891" ht="12.75" customHeight="1">
      <c r="A891" s="7"/>
      <c r="B891" s="7"/>
      <c r="C891" s="7"/>
      <c r="D891" s="7"/>
      <c r="E891" s="7"/>
      <c r="F891" s="7"/>
      <c r="G891" s="7"/>
      <c r="H891" s="7"/>
      <c r="I891" s="7"/>
    </row>
    <row r="892" ht="12.75" customHeight="1">
      <c r="A892" s="7"/>
      <c r="B892" s="7"/>
      <c r="C892" s="7"/>
      <c r="D892" s="7"/>
      <c r="E892" s="7"/>
      <c r="F892" s="7"/>
      <c r="G892" s="7"/>
      <c r="H892" s="7"/>
      <c r="I892" s="7"/>
    </row>
    <row r="893" ht="12.75" customHeight="1">
      <c r="A893" s="7"/>
      <c r="B893" s="7"/>
      <c r="C893" s="7"/>
      <c r="D893" s="7"/>
      <c r="E893" s="7"/>
      <c r="F893" s="7"/>
      <c r="G893" s="7"/>
      <c r="H893" s="7"/>
      <c r="I893" s="7"/>
    </row>
    <row r="894" ht="12.75" customHeight="1">
      <c r="A894" s="7"/>
      <c r="B894" s="7"/>
      <c r="C894" s="7"/>
      <c r="D894" s="7"/>
      <c r="E894" s="7"/>
      <c r="F894" s="7"/>
      <c r="G894" s="7"/>
      <c r="H894" s="7"/>
      <c r="I894" s="7"/>
    </row>
    <row r="895" ht="12.75" customHeight="1">
      <c r="A895" s="7"/>
      <c r="B895" s="7"/>
      <c r="C895" s="7"/>
      <c r="D895" s="7"/>
      <c r="E895" s="7"/>
      <c r="F895" s="7"/>
      <c r="G895" s="7"/>
      <c r="H895" s="7"/>
      <c r="I895" s="7"/>
    </row>
    <row r="896" ht="12.75" customHeight="1">
      <c r="A896" s="7"/>
      <c r="B896" s="7"/>
      <c r="C896" s="7"/>
      <c r="D896" s="7"/>
      <c r="E896" s="7"/>
      <c r="F896" s="7"/>
      <c r="G896" s="7"/>
      <c r="H896" s="7"/>
      <c r="I896" s="7"/>
    </row>
    <row r="897" ht="12.75" customHeight="1">
      <c r="A897" s="7"/>
      <c r="B897" s="7"/>
      <c r="C897" s="7"/>
      <c r="D897" s="7"/>
      <c r="E897" s="7"/>
      <c r="F897" s="7"/>
      <c r="G897" s="7"/>
      <c r="H897" s="7"/>
      <c r="I897" s="7"/>
    </row>
    <row r="898" ht="12.75" customHeight="1">
      <c r="A898" s="7"/>
      <c r="B898" s="7"/>
      <c r="C898" s="7"/>
      <c r="D898" s="7"/>
      <c r="E898" s="7"/>
      <c r="F898" s="7"/>
      <c r="G898" s="7"/>
      <c r="H898" s="7"/>
      <c r="I898" s="7"/>
    </row>
    <row r="899" ht="12.75" customHeight="1">
      <c r="A899" s="7"/>
      <c r="B899" s="7"/>
      <c r="C899" s="7"/>
      <c r="D899" s="7"/>
      <c r="E899" s="7"/>
      <c r="F899" s="7"/>
      <c r="G899" s="7"/>
      <c r="H899" s="7"/>
      <c r="I899" s="7"/>
    </row>
    <row r="900" ht="12.75" customHeight="1">
      <c r="A900" s="7"/>
      <c r="B900" s="7"/>
      <c r="C900" s="7"/>
      <c r="D900" s="7"/>
      <c r="E900" s="7"/>
      <c r="F900" s="7"/>
      <c r="G900" s="7"/>
      <c r="H900" s="7"/>
      <c r="I900" s="7"/>
    </row>
    <row r="901" ht="12.75" customHeight="1">
      <c r="A901" s="7"/>
      <c r="B901" s="7"/>
      <c r="C901" s="7"/>
      <c r="D901" s="7"/>
      <c r="E901" s="7"/>
      <c r="F901" s="7"/>
      <c r="G901" s="7"/>
      <c r="H901" s="7"/>
      <c r="I901" s="7"/>
    </row>
    <row r="902" ht="12.75" customHeight="1">
      <c r="A902" s="7"/>
      <c r="B902" s="7"/>
      <c r="C902" s="7"/>
      <c r="D902" s="7"/>
      <c r="E902" s="7"/>
      <c r="F902" s="7"/>
      <c r="G902" s="7"/>
      <c r="H902" s="7"/>
      <c r="I902" s="7"/>
    </row>
    <row r="903" ht="12.75" customHeight="1">
      <c r="A903" s="7"/>
      <c r="B903" s="7"/>
      <c r="C903" s="7"/>
      <c r="D903" s="7"/>
      <c r="E903" s="7"/>
      <c r="F903" s="7"/>
      <c r="G903" s="7"/>
      <c r="H903" s="7"/>
      <c r="I903" s="7"/>
    </row>
    <row r="904" ht="12.75" customHeight="1">
      <c r="A904" s="7"/>
      <c r="B904" s="7"/>
      <c r="C904" s="7"/>
      <c r="D904" s="7"/>
      <c r="E904" s="7"/>
      <c r="F904" s="7"/>
      <c r="G904" s="7"/>
      <c r="H904" s="7"/>
      <c r="I904" s="7"/>
    </row>
    <row r="905" ht="12.75" customHeight="1">
      <c r="A905" s="7"/>
      <c r="B905" s="7"/>
      <c r="C905" s="7"/>
      <c r="D905" s="7"/>
      <c r="E905" s="7"/>
      <c r="F905" s="7"/>
      <c r="G905" s="7"/>
      <c r="H905" s="7"/>
      <c r="I905" s="7"/>
    </row>
    <row r="906" ht="12.75" customHeight="1">
      <c r="A906" s="7"/>
      <c r="B906" s="7"/>
      <c r="C906" s="7"/>
      <c r="D906" s="7"/>
      <c r="E906" s="7"/>
      <c r="F906" s="7"/>
      <c r="G906" s="7"/>
      <c r="H906" s="7"/>
      <c r="I906" s="7"/>
    </row>
    <row r="907" ht="12.75" customHeight="1">
      <c r="A907" s="7"/>
      <c r="B907" s="7"/>
      <c r="C907" s="7"/>
      <c r="D907" s="7"/>
      <c r="E907" s="7"/>
      <c r="F907" s="7"/>
      <c r="G907" s="7"/>
      <c r="H907" s="7"/>
      <c r="I907" s="7"/>
    </row>
    <row r="908" ht="12.75" customHeight="1">
      <c r="A908" s="7"/>
      <c r="B908" s="7"/>
      <c r="C908" s="7"/>
      <c r="D908" s="7"/>
      <c r="E908" s="7"/>
      <c r="F908" s="7"/>
      <c r="G908" s="7"/>
      <c r="H908" s="7"/>
      <c r="I908" s="7"/>
    </row>
    <row r="909" ht="12.75" customHeight="1">
      <c r="A909" s="7"/>
      <c r="B909" s="7"/>
      <c r="C909" s="7"/>
      <c r="D909" s="7"/>
      <c r="E909" s="7"/>
      <c r="F909" s="7"/>
      <c r="G909" s="7"/>
      <c r="H909" s="7"/>
      <c r="I909" s="7"/>
    </row>
    <row r="910" ht="12.75" customHeight="1">
      <c r="A910" s="7"/>
      <c r="B910" s="7"/>
      <c r="C910" s="7"/>
      <c r="D910" s="7"/>
      <c r="E910" s="7"/>
      <c r="F910" s="7"/>
      <c r="G910" s="7"/>
      <c r="H910" s="7"/>
      <c r="I910" s="7"/>
    </row>
    <row r="911" ht="12.75" customHeight="1">
      <c r="A911" s="7"/>
      <c r="B911" s="7"/>
      <c r="C911" s="7"/>
      <c r="D911" s="7"/>
      <c r="E911" s="7"/>
      <c r="F911" s="7"/>
      <c r="G911" s="7"/>
      <c r="H911" s="7"/>
      <c r="I911" s="7"/>
    </row>
    <row r="912" ht="12.75" customHeight="1">
      <c r="A912" s="7"/>
      <c r="B912" s="7"/>
      <c r="C912" s="7"/>
      <c r="D912" s="7"/>
      <c r="E912" s="7"/>
      <c r="F912" s="7"/>
      <c r="G912" s="7"/>
      <c r="H912" s="7"/>
      <c r="I912" s="7"/>
    </row>
    <row r="913" ht="12.75" customHeight="1">
      <c r="A913" s="7"/>
      <c r="B913" s="7"/>
      <c r="C913" s="7"/>
      <c r="D913" s="7"/>
      <c r="E913" s="7"/>
      <c r="F913" s="7"/>
      <c r="G913" s="7"/>
      <c r="H913" s="7"/>
      <c r="I913" s="7"/>
    </row>
    <row r="914" ht="12.75" customHeight="1">
      <c r="A914" s="7"/>
      <c r="B914" s="7"/>
      <c r="C914" s="7"/>
      <c r="D914" s="7"/>
      <c r="E914" s="7"/>
      <c r="F914" s="7"/>
      <c r="G914" s="7"/>
      <c r="H914" s="7"/>
      <c r="I914" s="7"/>
    </row>
    <row r="915" ht="12.75" customHeight="1">
      <c r="A915" s="7"/>
      <c r="B915" s="7"/>
      <c r="C915" s="7"/>
      <c r="D915" s="7"/>
      <c r="E915" s="7"/>
      <c r="F915" s="7"/>
      <c r="G915" s="7"/>
      <c r="H915" s="7"/>
      <c r="I915" s="7"/>
    </row>
    <row r="916" ht="12.75" customHeight="1">
      <c r="A916" s="7"/>
      <c r="B916" s="7"/>
      <c r="C916" s="7"/>
      <c r="D916" s="7"/>
      <c r="E916" s="7"/>
      <c r="F916" s="7"/>
      <c r="G916" s="7"/>
      <c r="H916" s="7"/>
      <c r="I916" s="7"/>
    </row>
    <row r="917" ht="12.75" customHeight="1">
      <c r="A917" s="7"/>
      <c r="B917" s="7"/>
      <c r="C917" s="7"/>
      <c r="D917" s="7"/>
      <c r="E917" s="7"/>
      <c r="F917" s="7"/>
      <c r="G917" s="7"/>
      <c r="H917" s="7"/>
      <c r="I917" s="7"/>
    </row>
    <row r="918" ht="12.75" customHeight="1">
      <c r="A918" s="7"/>
      <c r="B918" s="7"/>
      <c r="C918" s="7"/>
      <c r="D918" s="7"/>
      <c r="E918" s="7"/>
      <c r="F918" s="7"/>
      <c r="G918" s="7"/>
      <c r="H918" s="7"/>
      <c r="I918" s="7"/>
    </row>
    <row r="919" ht="12.75" customHeight="1">
      <c r="A919" s="7"/>
      <c r="B919" s="7"/>
      <c r="C919" s="7"/>
      <c r="D919" s="7"/>
      <c r="E919" s="7"/>
      <c r="F919" s="7"/>
      <c r="G919" s="7"/>
      <c r="H919" s="7"/>
      <c r="I919" s="7"/>
    </row>
    <row r="920" ht="12.75" customHeight="1">
      <c r="A920" s="7"/>
      <c r="B920" s="7"/>
      <c r="C920" s="7"/>
      <c r="D920" s="7"/>
      <c r="E920" s="7"/>
      <c r="F920" s="7"/>
      <c r="G920" s="7"/>
      <c r="H920" s="7"/>
      <c r="I920" s="7"/>
    </row>
    <row r="921" ht="12.75" customHeight="1">
      <c r="A921" s="7"/>
      <c r="B921" s="7"/>
      <c r="C921" s="7"/>
      <c r="D921" s="7"/>
      <c r="E921" s="7"/>
      <c r="F921" s="7"/>
      <c r="G921" s="7"/>
      <c r="H921" s="7"/>
      <c r="I921" s="7"/>
    </row>
    <row r="922" ht="12.75" customHeight="1">
      <c r="A922" s="7"/>
      <c r="B922" s="7"/>
      <c r="C922" s="7"/>
      <c r="D922" s="7"/>
      <c r="E922" s="7"/>
      <c r="F922" s="7"/>
      <c r="G922" s="7"/>
      <c r="H922" s="7"/>
      <c r="I922" s="7"/>
    </row>
    <row r="923" ht="12.75" customHeight="1">
      <c r="A923" s="7"/>
      <c r="B923" s="7"/>
      <c r="C923" s="7"/>
      <c r="D923" s="7"/>
      <c r="E923" s="7"/>
      <c r="F923" s="7"/>
      <c r="G923" s="7"/>
      <c r="H923" s="7"/>
      <c r="I923" s="7"/>
    </row>
    <row r="924" ht="12.75" customHeight="1">
      <c r="A924" s="7"/>
      <c r="B924" s="7"/>
      <c r="C924" s="7"/>
      <c r="D924" s="7"/>
      <c r="E924" s="7"/>
      <c r="F924" s="7"/>
      <c r="G924" s="7"/>
      <c r="H924" s="7"/>
      <c r="I924" s="7"/>
    </row>
    <row r="925" ht="12.75" customHeight="1">
      <c r="A925" s="7"/>
      <c r="B925" s="7"/>
      <c r="C925" s="7"/>
      <c r="D925" s="7"/>
      <c r="E925" s="7"/>
      <c r="F925" s="7"/>
      <c r="G925" s="7"/>
      <c r="H925" s="7"/>
      <c r="I925" s="7"/>
    </row>
    <row r="926" ht="12.75" customHeight="1">
      <c r="A926" s="7"/>
      <c r="B926" s="7"/>
      <c r="C926" s="7"/>
      <c r="D926" s="7"/>
      <c r="E926" s="7"/>
      <c r="F926" s="7"/>
      <c r="G926" s="7"/>
      <c r="H926" s="7"/>
      <c r="I926" s="7"/>
    </row>
    <row r="927" ht="12.75" customHeight="1">
      <c r="A927" s="7"/>
      <c r="B927" s="7"/>
      <c r="C927" s="7"/>
      <c r="D927" s="7"/>
      <c r="E927" s="7"/>
      <c r="F927" s="7"/>
      <c r="G927" s="7"/>
      <c r="H927" s="7"/>
      <c r="I927" s="7"/>
    </row>
    <row r="928" ht="12.75" customHeight="1">
      <c r="A928" s="7"/>
      <c r="B928" s="7"/>
      <c r="C928" s="7"/>
      <c r="D928" s="7"/>
      <c r="E928" s="7"/>
      <c r="F928" s="7"/>
      <c r="G928" s="7"/>
      <c r="H928" s="7"/>
      <c r="I928" s="7"/>
    </row>
    <row r="929" ht="12.75" customHeight="1">
      <c r="A929" s="7"/>
      <c r="B929" s="7"/>
      <c r="C929" s="7"/>
      <c r="D929" s="7"/>
      <c r="E929" s="7"/>
      <c r="F929" s="7"/>
      <c r="G929" s="7"/>
      <c r="H929" s="7"/>
      <c r="I929" s="7"/>
    </row>
    <row r="930" ht="12.75" customHeight="1">
      <c r="A930" s="7"/>
      <c r="B930" s="7"/>
      <c r="C930" s="7"/>
      <c r="D930" s="7"/>
      <c r="E930" s="7"/>
      <c r="F930" s="7"/>
      <c r="G930" s="7"/>
      <c r="H930" s="7"/>
      <c r="I930" s="7"/>
    </row>
    <row r="931" ht="12.75" customHeight="1">
      <c r="A931" s="7"/>
      <c r="B931" s="7"/>
      <c r="C931" s="7"/>
      <c r="D931" s="7"/>
      <c r="E931" s="7"/>
      <c r="F931" s="7"/>
      <c r="G931" s="7"/>
      <c r="H931" s="7"/>
      <c r="I931" s="7"/>
    </row>
    <row r="932" ht="12.75" customHeight="1">
      <c r="A932" s="7"/>
      <c r="B932" s="7"/>
      <c r="C932" s="7"/>
      <c r="D932" s="7"/>
      <c r="E932" s="7"/>
      <c r="F932" s="7"/>
      <c r="G932" s="7"/>
      <c r="H932" s="7"/>
      <c r="I932" s="7"/>
    </row>
    <row r="933" ht="12.75" customHeight="1">
      <c r="A933" s="7"/>
      <c r="B933" s="7"/>
      <c r="C933" s="7"/>
      <c r="D933" s="7"/>
      <c r="E933" s="7"/>
      <c r="F933" s="7"/>
      <c r="G933" s="7"/>
      <c r="H933" s="7"/>
      <c r="I933" s="7"/>
    </row>
    <row r="934" ht="12.75" customHeight="1">
      <c r="A934" s="7"/>
      <c r="B934" s="7"/>
      <c r="C934" s="7"/>
      <c r="D934" s="7"/>
      <c r="E934" s="7"/>
      <c r="F934" s="7"/>
      <c r="G934" s="7"/>
      <c r="H934" s="7"/>
      <c r="I934" s="7"/>
    </row>
    <row r="935" ht="12.75" customHeight="1">
      <c r="A935" s="7"/>
      <c r="B935" s="7"/>
      <c r="C935" s="7"/>
      <c r="D935" s="7"/>
      <c r="E935" s="7"/>
      <c r="F935" s="7"/>
      <c r="G935" s="7"/>
      <c r="H935" s="7"/>
      <c r="I935" s="7"/>
    </row>
    <row r="936" ht="12.75" customHeight="1">
      <c r="A936" s="7"/>
      <c r="B936" s="7"/>
      <c r="C936" s="7"/>
      <c r="D936" s="7"/>
      <c r="E936" s="7"/>
      <c r="F936" s="7"/>
      <c r="G936" s="7"/>
      <c r="H936" s="7"/>
      <c r="I936" s="7"/>
    </row>
    <row r="937" ht="12.75" customHeight="1">
      <c r="A937" s="7"/>
      <c r="B937" s="7"/>
      <c r="C937" s="7"/>
      <c r="D937" s="7"/>
      <c r="E937" s="7"/>
      <c r="F937" s="7"/>
      <c r="G937" s="7"/>
      <c r="H937" s="7"/>
      <c r="I937" s="7"/>
    </row>
    <row r="938" ht="12.75" customHeight="1">
      <c r="A938" s="7"/>
      <c r="B938" s="7"/>
      <c r="C938" s="7"/>
      <c r="D938" s="7"/>
      <c r="E938" s="7"/>
      <c r="F938" s="7"/>
      <c r="G938" s="7"/>
      <c r="H938" s="7"/>
      <c r="I938" s="7"/>
    </row>
    <row r="939" ht="12.75" customHeight="1">
      <c r="A939" s="7"/>
      <c r="B939" s="7"/>
      <c r="C939" s="7"/>
      <c r="D939" s="7"/>
      <c r="E939" s="7"/>
      <c r="F939" s="7"/>
      <c r="G939" s="7"/>
      <c r="H939" s="7"/>
      <c r="I939" s="7"/>
    </row>
    <row r="940" ht="12.75" customHeight="1">
      <c r="A940" s="7"/>
      <c r="B940" s="7"/>
      <c r="C940" s="7"/>
      <c r="D940" s="7"/>
      <c r="E940" s="7"/>
      <c r="F940" s="7"/>
      <c r="G940" s="7"/>
      <c r="H940" s="7"/>
      <c r="I940" s="7"/>
    </row>
    <row r="941" ht="12.75" customHeight="1">
      <c r="A941" s="7"/>
      <c r="B941" s="7"/>
      <c r="C941" s="7"/>
      <c r="D941" s="7"/>
      <c r="E941" s="7"/>
      <c r="F941" s="7"/>
      <c r="G941" s="7"/>
      <c r="H941" s="7"/>
      <c r="I941" s="7"/>
    </row>
    <row r="942" ht="12.75" customHeight="1">
      <c r="A942" s="7"/>
      <c r="B942" s="7"/>
      <c r="C942" s="7"/>
      <c r="D942" s="7"/>
      <c r="E942" s="7"/>
      <c r="F942" s="7"/>
      <c r="G942" s="7"/>
      <c r="H942" s="7"/>
      <c r="I942" s="7"/>
    </row>
    <row r="943" ht="12.75" customHeight="1">
      <c r="A943" s="7"/>
      <c r="B943" s="7"/>
      <c r="C943" s="7"/>
      <c r="D943" s="7"/>
      <c r="E943" s="7"/>
      <c r="F943" s="7"/>
      <c r="G943" s="7"/>
      <c r="H943" s="7"/>
      <c r="I943" s="7"/>
    </row>
    <row r="944" ht="12.75" customHeight="1">
      <c r="A944" s="7"/>
      <c r="B944" s="7"/>
      <c r="C944" s="7"/>
      <c r="D944" s="7"/>
      <c r="E944" s="7"/>
      <c r="F944" s="7"/>
      <c r="G944" s="7"/>
      <c r="H944" s="7"/>
      <c r="I944" s="7"/>
    </row>
    <row r="945" ht="12.75" customHeight="1">
      <c r="A945" s="7"/>
      <c r="B945" s="7"/>
      <c r="C945" s="7"/>
      <c r="D945" s="7"/>
      <c r="E945" s="7"/>
      <c r="F945" s="7"/>
      <c r="G945" s="7"/>
      <c r="H945" s="7"/>
      <c r="I945" s="7"/>
    </row>
    <row r="946" ht="12.75" customHeight="1">
      <c r="A946" s="7"/>
      <c r="B946" s="7"/>
      <c r="C946" s="7"/>
      <c r="D946" s="7"/>
      <c r="E946" s="7"/>
      <c r="F946" s="7"/>
      <c r="G946" s="7"/>
      <c r="H946" s="7"/>
      <c r="I946" s="7"/>
    </row>
  </sheetData>
  <mergeCells count="10">
    <mergeCell ref="C12:C13"/>
    <mergeCell ref="D12:D13"/>
    <mergeCell ref="E12:E13"/>
    <mergeCell ref="B4:C4"/>
    <mergeCell ref="B5:C5"/>
    <mergeCell ref="B6:C6"/>
    <mergeCell ref="B7:C7"/>
    <mergeCell ref="B8:C8"/>
    <mergeCell ref="A12:A13"/>
    <mergeCell ref="B12:B13"/>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86.0"/>
    <col customWidth="1" min="6" max="6" width="43.86"/>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46"/>
      <c r="B1" s="47"/>
      <c r="C1" s="48" t="s">
        <v>2</v>
      </c>
      <c r="D1" s="49" t="s">
        <v>37</v>
      </c>
      <c r="E1" s="50"/>
      <c r="F1" s="49" t="s">
        <v>38</v>
      </c>
      <c r="G1" s="51" t="str">
        <f>G2</f>
        <v> - -</v>
      </c>
      <c r="H1" s="52"/>
      <c r="I1" s="53"/>
      <c r="J1" s="54"/>
      <c r="K1" s="55"/>
      <c r="L1" s="56"/>
      <c r="M1" s="57" t="s">
        <v>39</v>
      </c>
      <c r="N1" s="58"/>
      <c r="O1" s="58"/>
      <c r="P1" s="58"/>
      <c r="Q1" s="58"/>
      <c r="R1" s="58"/>
      <c r="S1" s="58"/>
      <c r="T1" s="58"/>
      <c r="U1" s="58"/>
      <c r="V1" s="58"/>
      <c r="W1" s="58"/>
      <c r="X1" s="58"/>
      <c r="Y1" s="58"/>
      <c r="Z1" s="58"/>
      <c r="AA1" s="58"/>
      <c r="AB1" s="58"/>
      <c r="AC1" s="58"/>
    </row>
    <row r="2" ht="32.25" customHeight="1">
      <c r="A2" s="46" t="s">
        <v>40</v>
      </c>
      <c r="B2" s="47"/>
      <c r="C2" s="59" t="s">
        <v>41</v>
      </c>
      <c r="D2" s="60" t="s">
        <v>42</v>
      </c>
      <c r="E2" s="59"/>
      <c r="F2" s="60" t="s">
        <v>43</v>
      </c>
      <c r="G2" s="61" t="s">
        <v>44</v>
      </c>
      <c r="H2" s="52"/>
      <c r="I2" s="53"/>
      <c r="J2" s="54"/>
      <c r="K2" s="55"/>
      <c r="L2" s="62" t="s">
        <v>45</v>
      </c>
      <c r="M2" s="63">
        <f>COUNTIF(L8:L97, "Passed")</f>
        <v>66</v>
      </c>
      <c r="N2" s="58"/>
      <c r="O2" s="58"/>
      <c r="P2" s="58"/>
      <c r="Q2" s="58"/>
      <c r="R2" s="58"/>
      <c r="S2" s="58"/>
      <c r="T2" s="58"/>
      <c r="U2" s="58"/>
      <c r="V2" s="58"/>
      <c r="W2" s="58"/>
      <c r="X2" s="58"/>
      <c r="Y2" s="58"/>
      <c r="Z2" s="58"/>
      <c r="AA2" s="58"/>
      <c r="AB2" s="58"/>
      <c r="AC2" s="58"/>
    </row>
    <row r="3" ht="33.0" customHeight="1">
      <c r="A3" s="46" t="s">
        <v>46</v>
      </c>
      <c r="B3" s="47"/>
      <c r="C3" s="59"/>
      <c r="D3" s="60" t="s">
        <v>47</v>
      </c>
      <c r="E3" s="64" t="s">
        <v>6</v>
      </c>
      <c r="F3" s="60" t="s">
        <v>48</v>
      </c>
      <c r="G3" s="59" t="s">
        <v>49</v>
      </c>
      <c r="H3" s="52"/>
      <c r="I3" s="53"/>
      <c r="J3" s="54"/>
      <c r="K3" s="55"/>
      <c r="L3" s="65" t="s">
        <v>50</v>
      </c>
      <c r="M3" s="63">
        <f>COUNTIF(L8:L536, "Failed")</f>
        <v>16</v>
      </c>
      <c r="N3" s="58"/>
      <c r="O3" s="58"/>
      <c r="P3" s="58"/>
      <c r="Q3" s="58"/>
      <c r="R3" s="58"/>
      <c r="S3" s="58"/>
      <c r="T3" s="58"/>
      <c r="U3" s="58"/>
      <c r="V3" s="58"/>
      <c r="W3" s="58"/>
      <c r="X3" s="58"/>
      <c r="Y3" s="58"/>
      <c r="Z3" s="58"/>
      <c r="AA3" s="58"/>
      <c r="AB3" s="58"/>
      <c r="AC3" s="58"/>
    </row>
    <row r="4" ht="34.5" customHeight="1">
      <c r="A4" s="46" t="s">
        <v>51</v>
      </c>
      <c r="B4" s="47"/>
      <c r="C4" s="59"/>
      <c r="D4" s="60" t="s">
        <v>52</v>
      </c>
      <c r="E4" s="59" t="s">
        <v>53</v>
      </c>
      <c r="F4" s="60" t="s">
        <v>54</v>
      </c>
      <c r="G4" s="59" t="s">
        <v>55</v>
      </c>
      <c r="H4" s="52"/>
      <c r="I4" s="53"/>
      <c r="J4" s="54"/>
      <c r="K4" s="55"/>
      <c r="L4" s="66" t="s">
        <v>56</v>
      </c>
      <c r="M4" s="63">
        <f>COUNTIF(L7:L536, "Not Executed")</f>
        <v>0</v>
      </c>
      <c r="N4" s="58"/>
      <c r="O4" s="58"/>
      <c r="P4" s="58"/>
      <c r="Q4" s="58"/>
      <c r="R4" s="58"/>
      <c r="S4" s="58"/>
      <c r="T4" s="58"/>
      <c r="U4" s="58"/>
      <c r="V4" s="58"/>
      <c r="W4" s="58"/>
      <c r="X4" s="58"/>
      <c r="Y4" s="58"/>
      <c r="Z4" s="58"/>
      <c r="AA4" s="58"/>
      <c r="AB4" s="58"/>
      <c r="AC4" s="58"/>
    </row>
    <row r="5" ht="31.5" customHeight="1">
      <c r="A5" s="67" t="s">
        <v>57</v>
      </c>
      <c r="B5" s="47"/>
      <c r="C5" s="68" t="s">
        <v>58</v>
      </c>
      <c r="D5" s="69"/>
      <c r="E5" s="69"/>
      <c r="F5" s="69"/>
      <c r="G5" s="47"/>
      <c r="H5" s="52"/>
      <c r="I5" s="53"/>
      <c r="J5" s="54"/>
      <c r="K5" s="55"/>
      <c r="L5" s="70" t="s">
        <v>59</v>
      </c>
      <c r="M5" s="71">
        <f>COUNTIF(L7:L536, "Out of Scope")</f>
        <v>0</v>
      </c>
      <c r="N5" s="58"/>
      <c r="O5" s="58"/>
      <c r="P5" s="58"/>
      <c r="Q5" s="58"/>
      <c r="R5" s="58"/>
      <c r="S5" s="58"/>
      <c r="T5" s="58"/>
      <c r="U5" s="58"/>
      <c r="V5" s="58"/>
      <c r="W5" s="58"/>
      <c r="X5" s="58"/>
      <c r="Y5" s="58"/>
      <c r="Z5" s="58"/>
      <c r="AA5" s="58"/>
      <c r="AB5" s="58"/>
      <c r="AC5" s="58"/>
    </row>
    <row r="6" ht="15.0" customHeight="1">
      <c r="A6" s="72"/>
      <c r="B6" s="73"/>
      <c r="C6" s="74"/>
      <c r="D6" s="75"/>
      <c r="E6" s="76"/>
      <c r="F6" s="72"/>
      <c r="G6" s="72"/>
      <c r="H6" s="52"/>
      <c r="I6" s="53"/>
      <c r="J6" s="54"/>
      <c r="K6" s="55"/>
      <c r="L6" s="77" t="s">
        <v>60</v>
      </c>
      <c r="M6" s="78">
        <f>SUM(M2:M5)</f>
        <v>82</v>
      </c>
      <c r="N6" s="58"/>
      <c r="O6" s="58"/>
      <c r="P6" s="58"/>
      <c r="Q6" s="58"/>
      <c r="R6" s="58"/>
      <c r="S6" s="58"/>
      <c r="T6" s="58"/>
      <c r="U6" s="58"/>
      <c r="V6" s="58"/>
      <c r="W6" s="58"/>
      <c r="X6" s="58"/>
      <c r="Y6" s="58"/>
      <c r="Z6" s="58"/>
      <c r="AA6" s="58"/>
      <c r="AB6" s="58"/>
      <c r="AC6" s="58"/>
    </row>
    <row r="7" ht="33.0" customHeight="1">
      <c r="A7" s="79" t="s">
        <v>61</v>
      </c>
      <c r="B7" s="79" t="s">
        <v>62</v>
      </c>
      <c r="C7" s="80" t="s">
        <v>63</v>
      </c>
      <c r="D7" s="79" t="s">
        <v>64</v>
      </c>
      <c r="E7" s="81" t="s">
        <v>65</v>
      </c>
      <c r="F7" s="81" t="s">
        <v>66</v>
      </c>
      <c r="G7" s="81" t="s">
        <v>67</v>
      </c>
      <c r="H7" s="82" t="s">
        <v>68</v>
      </c>
      <c r="I7" s="83" t="s">
        <v>69</v>
      </c>
      <c r="J7" s="84" t="s">
        <v>70</v>
      </c>
      <c r="K7" s="83" t="s">
        <v>71</v>
      </c>
      <c r="L7" s="85" t="s">
        <v>72</v>
      </c>
      <c r="M7" s="85" t="s">
        <v>73</v>
      </c>
      <c r="N7" s="86"/>
      <c r="O7" s="86"/>
      <c r="P7" s="86"/>
      <c r="Q7" s="86"/>
      <c r="R7" s="86"/>
      <c r="S7" s="86"/>
      <c r="T7" s="86"/>
      <c r="U7" s="86"/>
      <c r="V7" s="86"/>
      <c r="W7" s="86"/>
      <c r="X7" s="86"/>
      <c r="Y7" s="86"/>
      <c r="Z7" s="86"/>
      <c r="AA7" s="86"/>
      <c r="AB7" s="86"/>
      <c r="AC7" s="86"/>
    </row>
    <row r="8" ht="39.0" customHeight="1">
      <c r="A8" s="87">
        <v>1.0</v>
      </c>
      <c r="B8" s="87" t="s">
        <v>74</v>
      </c>
      <c r="C8" s="88" t="s">
        <v>75</v>
      </c>
      <c r="D8" s="89" t="s">
        <v>74</v>
      </c>
      <c r="E8" s="90" t="s">
        <v>76</v>
      </c>
      <c r="F8" s="90" t="s">
        <v>77</v>
      </c>
      <c r="G8" s="90" t="s">
        <v>78</v>
      </c>
      <c r="H8" s="87" t="s">
        <v>79</v>
      </c>
      <c r="I8" s="91" t="s">
        <v>80</v>
      </c>
      <c r="J8" s="92"/>
      <c r="K8" s="93"/>
      <c r="L8" s="94" t="s">
        <v>81</v>
      </c>
      <c r="M8" s="95"/>
      <c r="N8" s="96"/>
      <c r="O8" s="96"/>
      <c r="P8" s="96"/>
      <c r="Q8" s="96"/>
      <c r="R8" s="96"/>
      <c r="S8" s="96"/>
      <c r="T8" s="96"/>
      <c r="U8" s="96"/>
      <c r="V8" s="96"/>
      <c r="W8" s="96"/>
      <c r="X8" s="96"/>
      <c r="Y8" s="96"/>
      <c r="Z8" s="96"/>
      <c r="AA8" s="96"/>
      <c r="AB8" s="96"/>
      <c r="AC8" s="96"/>
    </row>
    <row r="9" ht="15.0" customHeight="1">
      <c r="A9" s="97"/>
      <c r="B9" s="98"/>
      <c r="C9" s="98"/>
      <c r="D9" s="99"/>
      <c r="E9" s="100"/>
      <c r="F9" s="100"/>
      <c r="G9" s="100"/>
      <c r="H9" s="101"/>
      <c r="I9" s="102"/>
      <c r="J9" s="103"/>
      <c r="K9" s="104"/>
      <c r="L9" s="105"/>
      <c r="M9" s="106"/>
      <c r="N9" s="107"/>
      <c r="O9" s="107"/>
      <c r="P9" s="107"/>
      <c r="Q9" s="107"/>
      <c r="R9" s="107"/>
      <c r="S9" s="107"/>
      <c r="T9" s="107"/>
      <c r="U9" s="107"/>
      <c r="V9" s="107"/>
      <c r="W9" s="107"/>
      <c r="X9" s="107"/>
      <c r="Y9" s="107"/>
      <c r="Z9" s="107"/>
      <c r="AA9" s="107"/>
      <c r="AB9" s="107"/>
      <c r="AC9" s="107"/>
    </row>
    <row r="10" ht="30.0" customHeight="1">
      <c r="A10" s="108">
        <v>2.0</v>
      </c>
      <c r="B10" s="109" t="s">
        <v>82</v>
      </c>
      <c r="C10" s="110"/>
      <c r="D10" s="111" t="s">
        <v>83</v>
      </c>
      <c r="E10" s="112" t="s">
        <v>84</v>
      </c>
      <c r="F10" s="112" t="s">
        <v>85</v>
      </c>
      <c r="G10" s="90" t="s">
        <v>78</v>
      </c>
      <c r="H10" s="87" t="s">
        <v>86</v>
      </c>
      <c r="I10" s="91"/>
      <c r="J10" s="92"/>
      <c r="K10" s="113"/>
      <c r="L10" s="114" t="s">
        <v>81</v>
      </c>
      <c r="M10" s="115"/>
      <c r="N10" s="116"/>
      <c r="O10" s="116"/>
      <c r="P10" s="116"/>
      <c r="Q10" s="116"/>
      <c r="R10" s="116"/>
      <c r="S10" s="116"/>
      <c r="T10" s="116"/>
      <c r="U10" s="116"/>
      <c r="V10" s="116"/>
      <c r="W10" s="116"/>
      <c r="X10" s="116"/>
      <c r="Y10" s="116"/>
      <c r="Z10" s="116"/>
      <c r="AA10" s="116"/>
      <c r="AB10" s="116"/>
      <c r="AC10" s="116"/>
    </row>
    <row r="11" ht="30.0" customHeight="1">
      <c r="A11" s="108">
        <v>3.0</v>
      </c>
      <c r="B11" s="110"/>
      <c r="C11" s="110"/>
      <c r="D11" s="117"/>
      <c r="E11" s="112" t="s">
        <v>87</v>
      </c>
      <c r="F11" s="90" t="s">
        <v>88</v>
      </c>
      <c r="G11" s="90" t="s">
        <v>78</v>
      </c>
      <c r="H11" s="87" t="s">
        <v>86</v>
      </c>
      <c r="I11" s="91"/>
      <c r="J11" s="92"/>
      <c r="K11" s="113"/>
      <c r="L11" s="114" t="s">
        <v>81</v>
      </c>
      <c r="M11" s="115"/>
      <c r="N11" s="116"/>
      <c r="O11" s="116"/>
      <c r="P11" s="116"/>
      <c r="Q11" s="116"/>
      <c r="R11" s="116"/>
      <c r="S11" s="116"/>
      <c r="T11" s="116"/>
      <c r="U11" s="116"/>
      <c r="V11" s="116"/>
      <c r="W11" s="116"/>
      <c r="X11" s="116"/>
      <c r="Y11" s="116"/>
      <c r="Z11" s="116"/>
      <c r="AA11" s="116"/>
      <c r="AB11" s="116"/>
      <c r="AC11" s="116"/>
    </row>
    <row r="12" ht="30.0" customHeight="1">
      <c r="A12" s="108">
        <v>4.0</v>
      </c>
      <c r="B12" s="110"/>
      <c r="C12" s="110"/>
      <c r="D12" s="117"/>
      <c r="E12" s="118" t="s">
        <v>89</v>
      </c>
      <c r="F12" s="119" t="s">
        <v>90</v>
      </c>
      <c r="G12" s="90" t="s">
        <v>78</v>
      </c>
      <c r="H12" s="87" t="s">
        <v>86</v>
      </c>
      <c r="I12" s="91"/>
      <c r="J12" s="120"/>
      <c r="K12" s="121"/>
      <c r="L12" s="114" t="s">
        <v>81</v>
      </c>
      <c r="M12" s="122"/>
      <c r="N12" s="122"/>
      <c r="O12" s="122"/>
      <c r="P12" s="122"/>
      <c r="Q12" s="122"/>
      <c r="R12" s="122"/>
      <c r="S12" s="122"/>
      <c r="T12" s="122"/>
      <c r="U12" s="116"/>
      <c r="V12" s="116"/>
      <c r="W12" s="116"/>
      <c r="X12" s="116"/>
      <c r="Y12" s="116"/>
      <c r="Z12" s="116"/>
      <c r="AA12" s="116"/>
      <c r="AB12" s="116"/>
      <c r="AC12" s="116"/>
    </row>
    <row r="13" ht="30.0" customHeight="1">
      <c r="A13" s="108">
        <v>5.0</v>
      </c>
      <c r="B13" s="110"/>
      <c r="C13" s="110"/>
      <c r="D13" s="117"/>
      <c r="E13" s="123" t="s">
        <v>91</v>
      </c>
      <c r="F13" s="119" t="s">
        <v>92</v>
      </c>
      <c r="G13" s="90" t="s">
        <v>78</v>
      </c>
      <c r="H13" s="87" t="s">
        <v>86</v>
      </c>
      <c r="I13" s="91"/>
      <c r="J13" s="120"/>
      <c r="K13" s="121"/>
      <c r="L13" s="114" t="s">
        <v>81</v>
      </c>
      <c r="M13" s="122"/>
      <c r="N13" s="122"/>
      <c r="O13" s="122"/>
      <c r="P13" s="122"/>
      <c r="Q13" s="122"/>
      <c r="R13" s="122"/>
      <c r="S13" s="122"/>
      <c r="T13" s="122"/>
      <c r="U13" s="116"/>
      <c r="V13" s="116"/>
      <c r="W13" s="116"/>
      <c r="X13" s="116"/>
      <c r="Y13" s="116"/>
      <c r="Z13" s="116"/>
      <c r="AA13" s="116"/>
      <c r="AB13" s="116"/>
      <c r="AC13" s="116"/>
    </row>
    <row r="14" ht="30.0" customHeight="1">
      <c r="A14" s="108">
        <v>6.0</v>
      </c>
      <c r="B14" s="124"/>
      <c r="C14" s="124"/>
      <c r="D14" s="117"/>
      <c r="E14" s="125" t="s">
        <v>93</v>
      </c>
      <c r="F14" s="125" t="s">
        <v>94</v>
      </c>
      <c r="G14" s="90" t="s">
        <v>78</v>
      </c>
      <c r="H14" s="87" t="s">
        <v>86</v>
      </c>
      <c r="I14" s="91"/>
      <c r="J14" s="120"/>
      <c r="K14" s="121"/>
      <c r="L14" s="114" t="s">
        <v>81</v>
      </c>
      <c r="M14" s="122"/>
      <c r="N14" s="122"/>
      <c r="O14" s="122"/>
      <c r="P14" s="122"/>
      <c r="Q14" s="122"/>
      <c r="R14" s="122"/>
      <c r="S14" s="122"/>
      <c r="T14" s="122"/>
      <c r="U14" s="116"/>
      <c r="V14" s="116"/>
      <c r="W14" s="116"/>
      <c r="X14" s="116"/>
      <c r="Y14" s="116"/>
      <c r="Z14" s="116"/>
      <c r="AA14" s="116"/>
      <c r="AB14" s="116"/>
      <c r="AC14" s="116"/>
    </row>
    <row r="15" ht="30.0" customHeight="1">
      <c r="A15" s="126">
        <v>7.0</v>
      </c>
      <c r="B15" s="87"/>
      <c r="C15" s="87"/>
      <c r="D15" s="117"/>
      <c r="E15" s="125" t="s">
        <v>95</v>
      </c>
      <c r="F15" s="125" t="s">
        <v>88</v>
      </c>
      <c r="G15" s="90" t="s">
        <v>78</v>
      </c>
      <c r="H15" s="87" t="s">
        <v>86</v>
      </c>
      <c r="I15" s="91"/>
      <c r="J15" s="120"/>
      <c r="K15" s="121"/>
      <c r="L15" s="114" t="s">
        <v>81</v>
      </c>
      <c r="M15" s="122"/>
      <c r="N15" s="122"/>
      <c r="O15" s="122"/>
      <c r="P15" s="122"/>
      <c r="Q15" s="122"/>
      <c r="R15" s="122"/>
      <c r="S15" s="122"/>
      <c r="T15" s="122"/>
      <c r="U15" s="116"/>
      <c r="V15" s="116"/>
      <c r="W15" s="116"/>
      <c r="X15" s="116"/>
      <c r="Y15" s="116"/>
      <c r="Z15" s="116"/>
      <c r="AA15" s="116"/>
      <c r="AB15" s="116"/>
      <c r="AC15" s="116"/>
    </row>
    <row r="16" ht="30.0" customHeight="1">
      <c r="A16" s="126">
        <v>8.0</v>
      </c>
      <c r="B16" s="87"/>
      <c r="C16" s="87"/>
      <c r="D16" s="117"/>
      <c r="E16" s="127" t="s">
        <v>96</v>
      </c>
      <c r="F16" s="90"/>
      <c r="G16" s="90" t="s">
        <v>97</v>
      </c>
      <c r="H16" s="87" t="s">
        <v>98</v>
      </c>
      <c r="I16" s="128" t="s">
        <v>99</v>
      </c>
      <c r="J16" s="129" t="s">
        <v>100</v>
      </c>
      <c r="K16" s="121"/>
      <c r="L16" s="114" t="s">
        <v>101</v>
      </c>
      <c r="M16" s="122"/>
      <c r="N16" s="122"/>
      <c r="O16" s="122"/>
      <c r="P16" s="122"/>
      <c r="Q16" s="122"/>
      <c r="R16" s="122"/>
      <c r="S16" s="122"/>
      <c r="T16" s="122"/>
      <c r="U16" s="116"/>
      <c r="V16" s="116"/>
      <c r="W16" s="116"/>
      <c r="X16" s="116"/>
      <c r="Y16" s="116"/>
      <c r="Z16" s="116"/>
      <c r="AA16" s="116"/>
      <c r="AB16" s="116"/>
      <c r="AC16" s="116"/>
    </row>
    <row r="17" ht="30.0" customHeight="1">
      <c r="A17" s="108">
        <v>9.0</v>
      </c>
      <c r="B17" s="130"/>
      <c r="C17" s="130"/>
      <c r="D17" s="117"/>
      <c r="E17" s="90"/>
      <c r="F17" s="90"/>
      <c r="G17" s="90" t="s">
        <v>78</v>
      </c>
      <c r="H17" s="87" t="s">
        <v>86</v>
      </c>
      <c r="I17" s="128" t="s">
        <v>102</v>
      </c>
      <c r="J17" s="131"/>
      <c r="K17" s="121"/>
      <c r="L17" s="114" t="s">
        <v>81</v>
      </c>
      <c r="M17" s="122"/>
      <c r="N17" s="122"/>
      <c r="O17" s="122"/>
      <c r="P17" s="122"/>
      <c r="Q17" s="122"/>
      <c r="R17" s="122"/>
      <c r="S17" s="122"/>
      <c r="T17" s="122"/>
      <c r="U17" s="116"/>
      <c r="V17" s="116"/>
      <c r="W17" s="116"/>
      <c r="X17" s="116"/>
      <c r="Y17" s="116"/>
      <c r="Z17" s="116"/>
      <c r="AA17" s="116"/>
      <c r="AB17" s="116"/>
      <c r="AC17" s="116"/>
    </row>
    <row r="18" ht="30.0" customHeight="1">
      <c r="A18" s="108">
        <v>10.0</v>
      </c>
      <c r="B18" s="110"/>
      <c r="C18" s="110"/>
      <c r="D18" s="117"/>
      <c r="E18" s="90"/>
      <c r="F18" s="90"/>
      <c r="G18" s="90" t="s">
        <v>78</v>
      </c>
      <c r="H18" s="87" t="s">
        <v>86</v>
      </c>
      <c r="I18" s="128" t="s">
        <v>103</v>
      </c>
      <c r="J18" s="131"/>
      <c r="K18" s="121"/>
      <c r="L18" s="114" t="s">
        <v>81</v>
      </c>
      <c r="M18" s="122"/>
      <c r="N18" s="122"/>
      <c r="O18" s="122"/>
      <c r="P18" s="122"/>
      <c r="Q18" s="122"/>
      <c r="R18" s="122"/>
      <c r="S18" s="122"/>
      <c r="T18" s="122"/>
      <c r="U18" s="116"/>
      <c r="V18" s="116"/>
      <c r="W18" s="116"/>
      <c r="X18" s="116"/>
      <c r="Y18" s="116"/>
      <c r="Z18" s="116"/>
      <c r="AA18" s="116"/>
      <c r="AB18" s="116"/>
      <c r="AC18" s="116"/>
    </row>
    <row r="19" ht="30.0" customHeight="1">
      <c r="A19" s="108">
        <v>11.0</v>
      </c>
      <c r="B19" s="110"/>
      <c r="C19" s="110"/>
      <c r="D19" s="117"/>
      <c r="E19" s="90" t="s">
        <v>104</v>
      </c>
      <c r="F19" s="90" t="s">
        <v>105</v>
      </c>
      <c r="G19" s="90" t="s">
        <v>78</v>
      </c>
      <c r="H19" s="87" t="s">
        <v>86</v>
      </c>
      <c r="I19" s="91" t="s">
        <v>106</v>
      </c>
      <c r="J19" s="131"/>
      <c r="K19" s="121"/>
      <c r="L19" s="114" t="s">
        <v>81</v>
      </c>
      <c r="M19" s="122"/>
      <c r="N19" s="122"/>
      <c r="O19" s="122"/>
      <c r="P19" s="122"/>
      <c r="Q19" s="122"/>
      <c r="R19" s="122"/>
      <c r="S19" s="122"/>
      <c r="T19" s="122"/>
      <c r="U19" s="116"/>
      <c r="V19" s="116"/>
      <c r="W19" s="116"/>
      <c r="X19" s="116"/>
      <c r="Y19" s="116"/>
      <c r="Z19" s="116"/>
      <c r="AA19" s="116"/>
      <c r="AB19" s="116"/>
      <c r="AC19" s="116"/>
    </row>
    <row r="20" ht="30.0" customHeight="1">
      <c r="A20" s="108">
        <v>12.0</v>
      </c>
      <c r="B20" s="110"/>
      <c r="C20" s="110"/>
      <c r="D20" s="117"/>
      <c r="E20" s="90" t="s">
        <v>107</v>
      </c>
      <c r="F20" s="90" t="s">
        <v>108</v>
      </c>
      <c r="G20" s="90" t="s">
        <v>78</v>
      </c>
      <c r="H20" s="87" t="s">
        <v>86</v>
      </c>
      <c r="I20" s="128" t="s">
        <v>109</v>
      </c>
      <c r="J20" s="131"/>
      <c r="K20" s="121"/>
      <c r="L20" s="114" t="s">
        <v>81</v>
      </c>
      <c r="M20" s="122"/>
      <c r="N20" s="122"/>
      <c r="O20" s="122"/>
      <c r="P20" s="122"/>
      <c r="Q20" s="122"/>
      <c r="R20" s="122"/>
      <c r="S20" s="122"/>
      <c r="T20" s="122"/>
      <c r="U20" s="116"/>
      <c r="V20" s="116"/>
      <c r="W20" s="116"/>
      <c r="X20" s="116"/>
      <c r="Y20" s="116"/>
      <c r="Z20" s="116"/>
      <c r="AA20" s="116"/>
      <c r="AB20" s="116"/>
      <c r="AC20" s="116"/>
    </row>
    <row r="21" ht="30.0" customHeight="1">
      <c r="A21" s="108">
        <v>13.0</v>
      </c>
      <c r="B21" s="110"/>
      <c r="C21" s="110"/>
      <c r="D21" s="117"/>
      <c r="E21" s="90" t="s">
        <v>110</v>
      </c>
      <c r="F21" s="90" t="s">
        <v>111</v>
      </c>
      <c r="G21" s="90" t="s">
        <v>78</v>
      </c>
      <c r="H21" s="87" t="s">
        <v>86</v>
      </c>
      <c r="I21" s="128" t="s">
        <v>112</v>
      </c>
      <c r="J21" s="131"/>
      <c r="K21" s="121"/>
      <c r="L21" s="114" t="s">
        <v>81</v>
      </c>
      <c r="M21" s="122"/>
      <c r="N21" s="122"/>
      <c r="O21" s="122"/>
      <c r="P21" s="122"/>
      <c r="Q21" s="122"/>
      <c r="R21" s="122"/>
      <c r="S21" s="122"/>
      <c r="T21" s="122"/>
      <c r="U21" s="116"/>
      <c r="V21" s="116"/>
      <c r="W21" s="116"/>
      <c r="X21" s="116"/>
      <c r="Y21" s="116"/>
      <c r="Z21" s="116"/>
      <c r="AA21" s="116"/>
      <c r="AB21" s="116"/>
      <c r="AC21" s="116"/>
    </row>
    <row r="22" ht="30.0" customHeight="1">
      <c r="A22" s="108">
        <v>14.0</v>
      </c>
      <c r="B22" s="110"/>
      <c r="C22" s="110"/>
      <c r="D22" s="117"/>
      <c r="E22" s="90" t="s">
        <v>113</v>
      </c>
      <c r="F22" s="90" t="s">
        <v>114</v>
      </c>
      <c r="G22" s="90" t="s">
        <v>78</v>
      </c>
      <c r="H22" s="87" t="s">
        <v>86</v>
      </c>
      <c r="I22" s="128" t="s">
        <v>115</v>
      </c>
      <c r="J22" s="131"/>
      <c r="K22" s="121"/>
      <c r="L22" s="114" t="s">
        <v>81</v>
      </c>
      <c r="M22" s="122"/>
      <c r="N22" s="122"/>
      <c r="O22" s="122"/>
      <c r="P22" s="122"/>
      <c r="Q22" s="122"/>
      <c r="R22" s="122"/>
      <c r="S22" s="122"/>
      <c r="T22" s="122"/>
      <c r="U22" s="116"/>
      <c r="V22" s="116"/>
      <c r="W22" s="116"/>
      <c r="X22" s="116"/>
      <c r="Y22" s="116"/>
      <c r="Z22" s="116"/>
      <c r="AA22" s="116"/>
      <c r="AB22" s="116"/>
      <c r="AC22" s="116"/>
    </row>
    <row r="23" ht="30.0" customHeight="1">
      <c r="A23" s="108">
        <v>15.0</v>
      </c>
      <c r="B23" s="110"/>
      <c r="C23" s="110"/>
      <c r="D23" s="117"/>
      <c r="E23" s="90" t="s">
        <v>116</v>
      </c>
      <c r="F23" s="90" t="s">
        <v>117</v>
      </c>
      <c r="G23" s="90" t="s">
        <v>78</v>
      </c>
      <c r="H23" s="87" t="s">
        <v>86</v>
      </c>
      <c r="I23" s="128" t="s">
        <v>118</v>
      </c>
      <c r="J23" s="131"/>
      <c r="K23" s="121"/>
      <c r="L23" s="114" t="s">
        <v>81</v>
      </c>
      <c r="M23" s="122"/>
      <c r="N23" s="122"/>
      <c r="O23" s="122"/>
      <c r="P23" s="122"/>
      <c r="Q23" s="122"/>
      <c r="R23" s="122"/>
      <c r="S23" s="122"/>
      <c r="T23" s="122"/>
      <c r="U23" s="116"/>
      <c r="V23" s="116"/>
      <c r="W23" s="116"/>
      <c r="X23" s="116"/>
      <c r="Y23" s="116"/>
      <c r="Z23" s="116"/>
      <c r="AA23" s="116"/>
      <c r="AB23" s="116"/>
      <c r="AC23" s="116"/>
    </row>
    <row r="24" ht="30.0" customHeight="1">
      <c r="A24" s="108">
        <v>16.0</v>
      </c>
      <c r="B24" s="110"/>
      <c r="C24" s="110"/>
      <c r="D24" s="117"/>
      <c r="E24" s="90" t="s">
        <v>119</v>
      </c>
      <c r="F24" s="90" t="s">
        <v>120</v>
      </c>
      <c r="G24" s="90" t="s">
        <v>78</v>
      </c>
      <c r="H24" s="87" t="s">
        <v>86</v>
      </c>
      <c r="I24" s="128" t="s">
        <v>121</v>
      </c>
      <c r="J24" s="131"/>
      <c r="K24" s="121"/>
      <c r="L24" s="114" t="s">
        <v>81</v>
      </c>
      <c r="M24" s="122"/>
      <c r="N24" s="122"/>
      <c r="O24" s="122"/>
      <c r="P24" s="122"/>
      <c r="Q24" s="122"/>
      <c r="R24" s="122"/>
      <c r="S24" s="122"/>
      <c r="T24" s="122"/>
      <c r="U24" s="116"/>
      <c r="V24" s="116"/>
      <c r="W24" s="116"/>
      <c r="X24" s="116"/>
      <c r="Y24" s="116"/>
      <c r="Z24" s="116"/>
      <c r="AA24" s="116"/>
      <c r="AB24" s="116"/>
      <c r="AC24" s="116"/>
    </row>
    <row r="25" ht="30.0" customHeight="1">
      <c r="A25" s="108">
        <v>17.0</v>
      </c>
      <c r="B25" s="110"/>
      <c r="C25" s="110"/>
      <c r="D25" s="117"/>
      <c r="E25" s="90" t="s">
        <v>122</v>
      </c>
      <c r="F25" s="90" t="s">
        <v>123</v>
      </c>
      <c r="G25" s="90" t="s">
        <v>78</v>
      </c>
      <c r="H25" s="87" t="s">
        <v>86</v>
      </c>
      <c r="I25" s="128" t="s">
        <v>124</v>
      </c>
      <c r="J25" s="131"/>
      <c r="K25" s="121"/>
      <c r="L25" s="114" t="s">
        <v>81</v>
      </c>
      <c r="M25" s="122"/>
      <c r="N25" s="122"/>
      <c r="O25" s="122"/>
      <c r="P25" s="122"/>
      <c r="Q25" s="122"/>
      <c r="R25" s="122"/>
      <c r="S25" s="122"/>
      <c r="T25" s="122"/>
      <c r="U25" s="116"/>
      <c r="V25" s="116"/>
      <c r="W25" s="116"/>
      <c r="X25" s="116"/>
      <c r="Y25" s="116"/>
      <c r="Z25" s="116"/>
      <c r="AA25" s="116"/>
      <c r="AB25" s="116"/>
      <c r="AC25" s="116"/>
    </row>
    <row r="26" ht="30.0" customHeight="1">
      <c r="A26" s="108">
        <v>18.0</v>
      </c>
      <c r="B26" s="110"/>
      <c r="C26" s="110"/>
      <c r="D26" s="117"/>
      <c r="E26" s="90" t="s">
        <v>125</v>
      </c>
      <c r="F26" s="90" t="s">
        <v>126</v>
      </c>
      <c r="G26" s="90" t="s">
        <v>78</v>
      </c>
      <c r="H26" s="87" t="s">
        <v>86</v>
      </c>
      <c r="I26" s="128" t="s">
        <v>127</v>
      </c>
      <c r="J26" s="131"/>
      <c r="K26" s="121"/>
      <c r="L26" s="132" t="s">
        <v>81</v>
      </c>
      <c r="M26" s="122"/>
      <c r="N26" s="122"/>
      <c r="O26" s="122"/>
      <c r="P26" s="122"/>
      <c r="Q26" s="122"/>
      <c r="R26" s="122"/>
      <c r="S26" s="122"/>
      <c r="T26" s="122"/>
      <c r="U26" s="116"/>
      <c r="V26" s="116"/>
      <c r="W26" s="116"/>
      <c r="X26" s="116"/>
      <c r="Y26" s="116"/>
      <c r="Z26" s="116"/>
      <c r="AA26" s="116"/>
      <c r="AB26" s="116"/>
      <c r="AC26" s="116"/>
    </row>
    <row r="27" ht="30.0" customHeight="1">
      <c r="A27" s="108">
        <v>19.0</v>
      </c>
      <c r="B27" s="110"/>
      <c r="C27" s="110"/>
      <c r="D27" s="117"/>
      <c r="E27" s="90" t="s">
        <v>128</v>
      </c>
      <c r="F27" s="90" t="s">
        <v>129</v>
      </c>
      <c r="G27" s="90" t="s">
        <v>78</v>
      </c>
      <c r="H27" s="87" t="s">
        <v>86</v>
      </c>
      <c r="I27" s="128" t="s">
        <v>130</v>
      </c>
      <c r="J27" s="131"/>
      <c r="K27" s="121"/>
      <c r="L27" s="114" t="s">
        <v>81</v>
      </c>
      <c r="M27" s="122"/>
      <c r="N27" s="122"/>
      <c r="O27" s="122"/>
      <c r="P27" s="122"/>
      <c r="Q27" s="122"/>
      <c r="R27" s="122"/>
      <c r="S27" s="122"/>
      <c r="T27" s="122"/>
      <c r="U27" s="116"/>
      <c r="V27" s="116"/>
      <c r="W27" s="116"/>
      <c r="X27" s="116"/>
      <c r="Y27" s="116"/>
      <c r="Z27" s="116"/>
      <c r="AA27" s="116"/>
      <c r="AB27" s="116"/>
      <c r="AC27" s="116"/>
    </row>
    <row r="28" ht="32.25" customHeight="1">
      <c r="A28" s="108">
        <v>20.0</v>
      </c>
      <c r="B28" s="110"/>
      <c r="C28" s="110"/>
      <c r="D28" s="117"/>
      <c r="E28" s="133" t="s">
        <v>131</v>
      </c>
      <c r="F28" s="133" t="s">
        <v>132</v>
      </c>
      <c r="G28" s="133" t="s">
        <v>78</v>
      </c>
      <c r="H28" s="134" t="s">
        <v>86</v>
      </c>
      <c r="I28" s="135" t="s">
        <v>133</v>
      </c>
      <c r="J28" s="136"/>
      <c r="K28" s="137"/>
      <c r="L28" s="138" t="s">
        <v>81</v>
      </c>
      <c r="M28" s="139"/>
      <c r="N28" s="140"/>
      <c r="O28" s="140"/>
      <c r="P28" s="140"/>
      <c r="Q28" s="140"/>
      <c r="R28" s="140"/>
      <c r="S28" s="140"/>
      <c r="T28" s="140"/>
      <c r="U28" s="107"/>
      <c r="V28" s="107"/>
      <c r="W28" s="107"/>
      <c r="X28" s="107"/>
      <c r="Y28" s="107"/>
      <c r="Z28" s="107"/>
      <c r="AA28" s="107"/>
      <c r="AB28" s="107"/>
      <c r="AC28" s="107"/>
    </row>
    <row r="29" ht="28.5" customHeight="1">
      <c r="A29" s="108">
        <v>21.0</v>
      </c>
      <c r="B29" s="110"/>
      <c r="C29" s="110"/>
      <c r="D29" s="117"/>
      <c r="E29" s="133" t="s">
        <v>134</v>
      </c>
      <c r="F29" s="90" t="s">
        <v>135</v>
      </c>
      <c r="G29" s="133" t="s">
        <v>78</v>
      </c>
      <c r="H29" s="134" t="s">
        <v>86</v>
      </c>
      <c r="I29" s="135" t="s">
        <v>136</v>
      </c>
      <c r="J29" s="136"/>
      <c r="K29" s="137"/>
      <c r="L29" s="138" t="s">
        <v>81</v>
      </c>
      <c r="M29" s="141"/>
      <c r="N29" s="140"/>
      <c r="O29" s="140"/>
      <c r="P29" s="140"/>
      <c r="Q29" s="140"/>
      <c r="R29" s="140"/>
      <c r="S29" s="140"/>
      <c r="T29" s="140"/>
      <c r="U29" s="107"/>
      <c r="V29" s="107"/>
      <c r="W29" s="107"/>
      <c r="X29" s="107"/>
      <c r="Y29" s="107"/>
      <c r="Z29" s="107"/>
      <c r="AA29" s="107"/>
      <c r="AB29" s="107"/>
      <c r="AC29" s="107"/>
    </row>
    <row r="30" ht="28.5" customHeight="1">
      <c r="A30" s="108">
        <v>22.0</v>
      </c>
      <c r="B30" s="110"/>
      <c r="C30" s="110"/>
      <c r="D30" s="117"/>
      <c r="E30" s="133" t="s">
        <v>137</v>
      </c>
      <c r="F30" s="90" t="s">
        <v>138</v>
      </c>
      <c r="G30" s="133" t="s">
        <v>78</v>
      </c>
      <c r="H30" s="134" t="s">
        <v>86</v>
      </c>
      <c r="I30" s="142" t="s">
        <v>139</v>
      </c>
      <c r="J30" s="143"/>
      <c r="K30" s="137"/>
      <c r="L30" s="138" t="s">
        <v>81</v>
      </c>
      <c r="M30" s="141"/>
      <c r="N30" s="140"/>
      <c r="O30" s="140"/>
      <c r="P30" s="140"/>
      <c r="Q30" s="140"/>
      <c r="R30" s="140"/>
      <c r="S30" s="140"/>
      <c r="T30" s="140"/>
      <c r="U30" s="107"/>
      <c r="V30" s="107"/>
      <c r="W30" s="107"/>
      <c r="X30" s="107"/>
      <c r="Y30" s="107"/>
      <c r="Z30" s="107"/>
      <c r="AA30" s="107"/>
      <c r="AB30" s="107"/>
      <c r="AC30" s="107"/>
    </row>
    <row r="31" ht="28.5" customHeight="1">
      <c r="A31" s="108">
        <v>23.0</v>
      </c>
      <c r="B31" s="110"/>
      <c r="C31" s="110"/>
      <c r="D31" s="117"/>
      <c r="E31" s="133" t="s">
        <v>140</v>
      </c>
      <c r="F31" s="90" t="s">
        <v>141</v>
      </c>
      <c r="G31" s="133" t="s">
        <v>78</v>
      </c>
      <c r="H31" s="134" t="s">
        <v>86</v>
      </c>
      <c r="I31" s="142" t="s">
        <v>142</v>
      </c>
      <c r="J31" s="143"/>
      <c r="K31" s="137"/>
      <c r="L31" s="138" t="s">
        <v>81</v>
      </c>
      <c r="M31" s="141"/>
      <c r="N31" s="140"/>
      <c r="O31" s="140"/>
      <c r="P31" s="140"/>
      <c r="Q31" s="140"/>
      <c r="R31" s="140"/>
      <c r="S31" s="140"/>
      <c r="T31" s="140"/>
      <c r="U31" s="107"/>
      <c r="V31" s="107"/>
      <c r="W31" s="107"/>
      <c r="X31" s="107"/>
      <c r="Y31" s="107"/>
      <c r="Z31" s="107"/>
      <c r="AA31" s="107"/>
      <c r="AB31" s="107"/>
      <c r="AC31" s="107"/>
    </row>
    <row r="32" ht="28.5" customHeight="1">
      <c r="A32" s="144">
        <v>24.0</v>
      </c>
      <c r="B32" s="110"/>
      <c r="C32" s="110"/>
      <c r="D32" s="117"/>
      <c r="E32" s="133" t="s">
        <v>143</v>
      </c>
      <c r="F32" s="90" t="s">
        <v>144</v>
      </c>
      <c r="G32" s="133" t="s">
        <v>145</v>
      </c>
      <c r="H32" s="134" t="s">
        <v>86</v>
      </c>
      <c r="I32" s="142" t="s">
        <v>146</v>
      </c>
      <c r="J32" s="143"/>
      <c r="K32" s="137"/>
      <c r="L32" s="138" t="s">
        <v>81</v>
      </c>
      <c r="M32" s="141"/>
      <c r="N32" s="140"/>
      <c r="O32" s="140"/>
      <c r="P32" s="140"/>
      <c r="Q32" s="140"/>
      <c r="R32" s="140"/>
      <c r="S32" s="140"/>
      <c r="T32" s="140"/>
      <c r="U32" s="107"/>
      <c r="V32" s="107"/>
      <c r="W32" s="107"/>
      <c r="X32" s="107"/>
      <c r="Y32" s="107"/>
      <c r="Z32" s="107"/>
      <c r="AA32" s="107"/>
      <c r="AB32" s="107"/>
      <c r="AC32" s="107"/>
    </row>
    <row r="33" ht="28.5" customHeight="1">
      <c r="A33" s="145">
        <v>25.0</v>
      </c>
      <c r="B33" s="110"/>
      <c r="C33" s="110"/>
      <c r="D33" s="117"/>
      <c r="E33" s="133" t="s">
        <v>147</v>
      </c>
      <c r="F33" s="90" t="s">
        <v>148</v>
      </c>
      <c r="G33" s="133" t="s">
        <v>149</v>
      </c>
      <c r="H33" s="134" t="s">
        <v>86</v>
      </c>
      <c r="I33" s="142" t="s">
        <v>150</v>
      </c>
      <c r="J33" s="143"/>
      <c r="K33" s="137"/>
      <c r="L33" s="138" t="s">
        <v>81</v>
      </c>
      <c r="M33" s="141"/>
      <c r="N33" s="140"/>
      <c r="O33" s="140"/>
      <c r="P33" s="140"/>
      <c r="Q33" s="140"/>
      <c r="R33" s="140"/>
      <c r="S33" s="140"/>
      <c r="T33" s="140"/>
      <c r="U33" s="107"/>
      <c r="V33" s="107"/>
      <c r="W33" s="107"/>
      <c r="X33" s="107"/>
      <c r="Y33" s="107"/>
      <c r="Z33" s="107"/>
      <c r="AA33" s="107"/>
      <c r="AB33" s="107"/>
      <c r="AC33" s="107"/>
    </row>
    <row r="34" ht="28.5" customHeight="1">
      <c r="A34" s="146">
        <v>26.0</v>
      </c>
      <c r="B34" s="110"/>
      <c r="C34" s="110"/>
      <c r="D34" s="117"/>
      <c r="E34" s="133" t="s">
        <v>151</v>
      </c>
      <c r="F34" s="90" t="s">
        <v>152</v>
      </c>
      <c r="G34" s="133" t="s">
        <v>149</v>
      </c>
      <c r="H34" s="134" t="s">
        <v>153</v>
      </c>
      <c r="I34" s="142" t="s">
        <v>154</v>
      </c>
      <c r="J34" s="143"/>
      <c r="K34" s="137"/>
      <c r="L34" s="138" t="s">
        <v>81</v>
      </c>
      <c r="M34" s="141"/>
      <c r="N34" s="140"/>
      <c r="O34" s="140"/>
      <c r="P34" s="140"/>
      <c r="Q34" s="140"/>
      <c r="R34" s="140"/>
      <c r="S34" s="140"/>
      <c r="T34" s="140"/>
      <c r="U34" s="107"/>
      <c r="V34" s="107"/>
      <c r="W34" s="107"/>
      <c r="X34" s="107"/>
      <c r="Y34" s="107"/>
      <c r="Z34" s="107"/>
      <c r="AA34" s="107"/>
      <c r="AB34" s="107"/>
      <c r="AC34" s="107"/>
    </row>
    <row r="35" ht="28.5" customHeight="1">
      <c r="A35" s="108">
        <v>27.0</v>
      </c>
      <c r="B35" s="110"/>
      <c r="C35" s="110"/>
      <c r="D35" s="117"/>
      <c r="E35" s="133" t="s">
        <v>155</v>
      </c>
      <c r="F35" s="90" t="s">
        <v>156</v>
      </c>
      <c r="G35" s="133" t="s">
        <v>145</v>
      </c>
      <c r="H35" s="134" t="s">
        <v>86</v>
      </c>
      <c r="I35" s="142" t="s">
        <v>157</v>
      </c>
      <c r="J35" s="143"/>
      <c r="K35" s="137"/>
      <c r="L35" s="138" t="s">
        <v>81</v>
      </c>
      <c r="M35" s="141"/>
      <c r="N35" s="140"/>
      <c r="O35" s="140"/>
      <c r="P35" s="140"/>
      <c r="Q35" s="140"/>
      <c r="R35" s="140"/>
      <c r="S35" s="140"/>
      <c r="T35" s="140"/>
      <c r="U35" s="107"/>
      <c r="V35" s="107"/>
      <c r="W35" s="107"/>
      <c r="X35" s="107"/>
      <c r="Y35" s="107"/>
      <c r="Z35" s="107"/>
      <c r="AA35" s="107"/>
      <c r="AB35" s="107"/>
      <c r="AC35" s="107"/>
    </row>
    <row r="36" ht="28.5" customHeight="1">
      <c r="A36" s="108">
        <v>28.0</v>
      </c>
      <c r="B36" s="110"/>
      <c r="C36" s="110"/>
      <c r="D36" s="117"/>
      <c r="E36" s="133" t="s">
        <v>158</v>
      </c>
      <c r="F36" s="90" t="s">
        <v>159</v>
      </c>
      <c r="G36" s="133" t="s">
        <v>97</v>
      </c>
      <c r="H36" s="134" t="s">
        <v>86</v>
      </c>
      <c r="I36" s="142" t="s">
        <v>160</v>
      </c>
      <c r="J36" s="143" t="s">
        <v>161</v>
      </c>
      <c r="K36" s="137"/>
      <c r="L36" s="147" t="s">
        <v>101</v>
      </c>
      <c r="M36" s="141"/>
      <c r="N36" s="140"/>
      <c r="O36" s="140"/>
      <c r="P36" s="140"/>
      <c r="Q36" s="140"/>
      <c r="R36" s="140"/>
      <c r="S36" s="140"/>
      <c r="T36" s="140"/>
      <c r="U36" s="107"/>
      <c r="V36" s="107"/>
      <c r="W36" s="107"/>
      <c r="X36" s="107"/>
      <c r="Y36" s="107"/>
      <c r="Z36" s="107"/>
      <c r="AA36" s="107"/>
      <c r="AB36" s="107"/>
      <c r="AC36" s="107"/>
    </row>
    <row r="37" ht="11.25" customHeight="1">
      <c r="A37" s="97"/>
      <c r="B37" s="98"/>
      <c r="C37" s="148"/>
      <c r="D37" s="149"/>
      <c r="E37" s="150"/>
      <c r="F37" s="151"/>
      <c r="G37" s="151"/>
      <c r="H37" s="152"/>
      <c r="I37" s="153"/>
      <c r="J37" s="154"/>
      <c r="K37" s="155"/>
      <c r="L37" s="152"/>
      <c r="M37" s="156"/>
      <c r="N37" s="140"/>
      <c r="O37" s="140"/>
      <c r="P37" s="140"/>
      <c r="Q37" s="140"/>
      <c r="R37" s="140"/>
      <c r="S37" s="140"/>
      <c r="T37" s="140"/>
      <c r="U37" s="107"/>
      <c r="V37" s="107"/>
      <c r="W37" s="107"/>
      <c r="X37" s="107"/>
      <c r="Y37" s="107"/>
      <c r="Z37" s="107"/>
      <c r="AA37" s="107"/>
      <c r="AB37" s="107"/>
      <c r="AC37" s="107"/>
    </row>
    <row r="38" ht="30.0" customHeight="1">
      <c r="A38" s="108">
        <v>29.0</v>
      </c>
      <c r="B38" s="157"/>
      <c r="C38" s="158"/>
      <c r="D38" s="159" t="s">
        <v>162</v>
      </c>
      <c r="E38" s="160" t="s">
        <v>163</v>
      </c>
      <c r="F38" s="133" t="s">
        <v>164</v>
      </c>
      <c r="G38" s="133" t="s">
        <v>78</v>
      </c>
      <c r="H38" s="114" t="s">
        <v>86</v>
      </c>
      <c r="I38" s="142" t="s">
        <v>165</v>
      </c>
      <c r="J38" s="136"/>
      <c r="K38" s="161"/>
      <c r="L38" s="138" t="s">
        <v>81</v>
      </c>
      <c r="M38" s="141"/>
      <c r="N38" s="140"/>
      <c r="O38" s="140"/>
      <c r="P38" s="140"/>
      <c r="Q38" s="140"/>
      <c r="R38" s="140"/>
      <c r="S38" s="140"/>
      <c r="T38" s="140"/>
      <c r="U38" s="107"/>
      <c r="V38" s="107"/>
      <c r="W38" s="107"/>
      <c r="X38" s="107"/>
      <c r="Y38" s="107"/>
      <c r="Z38" s="107"/>
      <c r="AA38" s="107"/>
      <c r="AB38" s="107"/>
      <c r="AC38" s="107"/>
    </row>
    <row r="39" ht="34.5" customHeight="1">
      <c r="A39" s="108">
        <v>30.0</v>
      </c>
      <c r="B39" s="157"/>
      <c r="C39" s="158"/>
      <c r="D39" s="162"/>
      <c r="E39" s="163" t="s">
        <v>166</v>
      </c>
      <c r="F39" s="133" t="s">
        <v>167</v>
      </c>
      <c r="G39" s="133" t="s">
        <v>78</v>
      </c>
      <c r="H39" s="114" t="s">
        <v>86</v>
      </c>
      <c r="I39" s="142" t="s">
        <v>168</v>
      </c>
      <c r="J39" s="136"/>
      <c r="K39" s="161"/>
      <c r="L39" s="138" t="s">
        <v>81</v>
      </c>
      <c r="M39" s="141"/>
      <c r="N39" s="140"/>
      <c r="O39" s="140"/>
      <c r="P39" s="140"/>
      <c r="Q39" s="140"/>
      <c r="R39" s="140"/>
      <c r="S39" s="140"/>
      <c r="T39" s="140"/>
      <c r="U39" s="107"/>
      <c r="V39" s="107"/>
      <c r="W39" s="107"/>
      <c r="X39" s="107"/>
      <c r="Y39" s="107"/>
      <c r="Z39" s="107"/>
      <c r="AA39" s="107"/>
      <c r="AB39" s="107"/>
      <c r="AC39" s="107"/>
    </row>
    <row r="40" ht="32.25" customHeight="1">
      <c r="A40" s="108">
        <v>31.0</v>
      </c>
      <c r="B40" s="157"/>
      <c r="C40" s="158"/>
      <c r="D40" s="164"/>
      <c r="E40" s="160" t="s">
        <v>169</v>
      </c>
      <c r="F40" s="133" t="s">
        <v>170</v>
      </c>
      <c r="G40" s="133" t="s">
        <v>78</v>
      </c>
      <c r="H40" s="114" t="s">
        <v>86</v>
      </c>
      <c r="I40" s="142" t="s">
        <v>171</v>
      </c>
      <c r="J40" s="136"/>
      <c r="K40" s="161"/>
      <c r="L40" s="138" t="s">
        <v>81</v>
      </c>
      <c r="M40" s="141"/>
      <c r="N40" s="140"/>
      <c r="O40" s="140"/>
      <c r="P40" s="140"/>
      <c r="Q40" s="140"/>
      <c r="R40" s="140"/>
      <c r="S40" s="140"/>
      <c r="T40" s="140"/>
      <c r="U40" s="107"/>
      <c r="V40" s="107"/>
      <c r="W40" s="107"/>
      <c r="X40" s="107"/>
      <c r="Y40" s="107"/>
      <c r="Z40" s="107"/>
      <c r="AA40" s="107"/>
      <c r="AB40" s="107"/>
      <c r="AC40" s="107"/>
    </row>
    <row r="41" ht="13.5" customHeight="1">
      <c r="A41" s="108"/>
      <c r="B41" s="98"/>
      <c r="C41" s="148"/>
      <c r="D41" s="149"/>
      <c r="E41" s="150"/>
      <c r="F41" s="151"/>
      <c r="G41" s="151"/>
      <c r="H41" s="152"/>
      <c r="I41" s="153"/>
      <c r="J41" s="154"/>
      <c r="K41" s="155"/>
      <c r="L41" s="152"/>
      <c r="M41" s="156"/>
      <c r="N41" s="140"/>
      <c r="O41" s="140"/>
      <c r="P41" s="140"/>
      <c r="Q41" s="140"/>
      <c r="R41" s="140"/>
      <c r="S41" s="140"/>
      <c r="T41" s="140"/>
      <c r="U41" s="107"/>
      <c r="V41" s="107"/>
      <c r="W41" s="107"/>
      <c r="X41" s="107"/>
      <c r="Y41" s="107"/>
      <c r="Z41" s="107"/>
      <c r="AA41" s="107"/>
      <c r="AB41" s="107"/>
      <c r="AC41" s="107"/>
    </row>
    <row r="42" ht="28.5" customHeight="1">
      <c r="A42" s="108">
        <v>32.0</v>
      </c>
      <c r="B42" s="110" t="s">
        <v>82</v>
      </c>
      <c r="C42" s="110"/>
      <c r="D42" s="165" t="s">
        <v>172</v>
      </c>
      <c r="E42" s="160" t="s">
        <v>173</v>
      </c>
      <c r="F42" s="90" t="s">
        <v>174</v>
      </c>
      <c r="G42" s="133" t="s">
        <v>78</v>
      </c>
      <c r="H42" s="114" t="s">
        <v>86</v>
      </c>
      <c r="I42" s="142" t="s">
        <v>175</v>
      </c>
      <c r="J42" s="136"/>
      <c r="K42" s="161"/>
      <c r="L42" s="138" t="s">
        <v>81</v>
      </c>
      <c r="M42" s="141"/>
      <c r="N42" s="140"/>
      <c r="O42" s="140"/>
      <c r="P42" s="140"/>
      <c r="Q42" s="140"/>
      <c r="R42" s="140"/>
      <c r="S42" s="140"/>
      <c r="T42" s="140"/>
      <c r="U42" s="107"/>
      <c r="V42" s="107"/>
      <c r="W42" s="107"/>
      <c r="X42" s="107"/>
      <c r="Y42" s="107"/>
      <c r="Z42" s="107"/>
      <c r="AA42" s="107"/>
      <c r="AB42" s="107"/>
      <c r="AC42" s="107"/>
    </row>
    <row r="43" ht="28.5" customHeight="1">
      <c r="A43" s="108">
        <v>33.0</v>
      </c>
      <c r="B43" s="124"/>
      <c r="C43" s="124"/>
      <c r="D43" s="162"/>
      <c r="E43" s="166" t="s">
        <v>176</v>
      </c>
      <c r="F43" s="167" t="s">
        <v>177</v>
      </c>
      <c r="G43" s="166" t="s">
        <v>78</v>
      </c>
      <c r="H43" s="157" t="s">
        <v>86</v>
      </c>
      <c r="I43" s="168" t="s">
        <v>175</v>
      </c>
      <c r="J43" s="169"/>
      <c r="K43" s="170"/>
      <c r="L43" s="171" t="s">
        <v>81</v>
      </c>
      <c r="M43" s="172"/>
      <c r="N43" s="173"/>
      <c r="O43" s="173"/>
      <c r="P43" s="173"/>
      <c r="Q43" s="173"/>
      <c r="R43" s="173"/>
      <c r="S43" s="173"/>
      <c r="T43" s="173"/>
      <c r="U43" s="174"/>
      <c r="V43" s="174"/>
      <c r="W43" s="174"/>
      <c r="X43" s="174"/>
      <c r="Y43" s="174"/>
      <c r="Z43" s="174"/>
      <c r="AA43" s="174"/>
      <c r="AB43" s="174"/>
      <c r="AC43" s="174"/>
    </row>
    <row r="44" ht="28.5" customHeight="1">
      <c r="A44" s="108">
        <v>34.0</v>
      </c>
      <c r="B44" s="87"/>
      <c r="C44" s="87"/>
      <c r="D44" s="162"/>
      <c r="E44" s="175" t="s">
        <v>178</v>
      </c>
      <c r="F44" s="90" t="s">
        <v>179</v>
      </c>
      <c r="G44" s="133" t="s">
        <v>78</v>
      </c>
      <c r="H44" s="134" t="s">
        <v>86</v>
      </c>
      <c r="I44" s="142" t="s">
        <v>180</v>
      </c>
      <c r="J44" s="176"/>
      <c r="K44" s="137"/>
      <c r="L44" s="138" t="s">
        <v>81</v>
      </c>
      <c r="M44" s="141"/>
      <c r="N44" s="140"/>
      <c r="O44" s="140"/>
      <c r="P44" s="140"/>
      <c r="Q44" s="140"/>
      <c r="R44" s="140"/>
      <c r="S44" s="140"/>
      <c r="T44" s="140"/>
      <c r="U44" s="107"/>
      <c r="V44" s="107"/>
      <c r="W44" s="107"/>
      <c r="X44" s="107"/>
      <c r="Y44" s="107"/>
      <c r="Z44" s="107"/>
      <c r="AA44" s="107"/>
      <c r="AB44" s="107"/>
      <c r="AC44" s="107"/>
    </row>
    <row r="45" ht="28.5" customHeight="1">
      <c r="A45" s="108">
        <v>35.0</v>
      </c>
      <c r="B45" s="130"/>
      <c r="C45" s="130"/>
      <c r="D45" s="162"/>
      <c r="E45" s="177" t="s">
        <v>181</v>
      </c>
      <c r="F45" s="178" t="s">
        <v>182</v>
      </c>
      <c r="G45" s="177" t="s">
        <v>145</v>
      </c>
      <c r="H45" s="179" t="s">
        <v>86</v>
      </c>
      <c r="I45" s="180" t="s">
        <v>183</v>
      </c>
      <c r="J45" s="181"/>
      <c r="K45" s="182"/>
      <c r="L45" s="183" t="s">
        <v>81</v>
      </c>
      <c r="M45" s="184"/>
      <c r="N45" s="185"/>
      <c r="O45" s="185"/>
      <c r="P45" s="185"/>
      <c r="Q45" s="185"/>
      <c r="R45" s="185"/>
      <c r="S45" s="185"/>
      <c r="T45" s="185"/>
      <c r="U45" s="186"/>
      <c r="V45" s="186"/>
      <c r="W45" s="186"/>
      <c r="X45" s="186"/>
      <c r="Y45" s="186"/>
      <c r="Z45" s="186"/>
      <c r="AA45" s="186"/>
      <c r="AB45" s="186"/>
      <c r="AC45" s="186"/>
    </row>
    <row r="46" ht="28.5" customHeight="1">
      <c r="A46" s="108">
        <v>36.0</v>
      </c>
      <c r="B46" s="110"/>
      <c r="C46" s="110"/>
      <c r="D46" s="162"/>
      <c r="E46" s="133" t="s">
        <v>184</v>
      </c>
      <c r="F46" s="90" t="s">
        <v>185</v>
      </c>
      <c r="G46" s="133" t="s">
        <v>145</v>
      </c>
      <c r="H46" s="157" t="s">
        <v>86</v>
      </c>
      <c r="I46" s="142" t="s">
        <v>186</v>
      </c>
      <c r="J46" s="143"/>
      <c r="K46" s="137"/>
      <c r="L46" s="138" t="s">
        <v>81</v>
      </c>
      <c r="M46" s="141"/>
      <c r="N46" s="140"/>
      <c r="O46" s="140"/>
      <c r="P46" s="140"/>
      <c r="Q46" s="140"/>
      <c r="R46" s="140"/>
      <c r="S46" s="140"/>
      <c r="T46" s="140"/>
      <c r="U46" s="107"/>
      <c r="V46" s="107"/>
      <c r="W46" s="107"/>
      <c r="X46" s="107"/>
      <c r="Y46" s="107"/>
      <c r="Z46" s="107"/>
      <c r="AA46" s="107"/>
      <c r="AB46" s="107"/>
      <c r="AC46" s="107"/>
    </row>
    <row r="47" ht="28.5" customHeight="1">
      <c r="A47" s="108">
        <v>37.0</v>
      </c>
      <c r="B47" s="110"/>
      <c r="C47" s="110"/>
      <c r="D47" s="162"/>
      <c r="E47" s="133" t="s">
        <v>187</v>
      </c>
      <c r="F47" s="90" t="s">
        <v>188</v>
      </c>
      <c r="G47" s="133" t="s">
        <v>189</v>
      </c>
      <c r="H47" s="134" t="s">
        <v>86</v>
      </c>
      <c r="I47" s="187" t="s">
        <v>190</v>
      </c>
      <c r="J47" s="188" t="s">
        <v>191</v>
      </c>
      <c r="K47" s="137"/>
      <c r="L47" s="147" t="s">
        <v>101</v>
      </c>
      <c r="M47" s="141"/>
      <c r="N47" s="140"/>
      <c r="O47" s="140"/>
      <c r="P47" s="140"/>
      <c r="Q47" s="140"/>
      <c r="R47" s="140"/>
      <c r="S47" s="140"/>
      <c r="T47" s="140"/>
      <c r="U47" s="107"/>
      <c r="V47" s="107"/>
      <c r="W47" s="107"/>
      <c r="X47" s="107"/>
      <c r="Y47" s="107"/>
      <c r="Z47" s="107"/>
      <c r="AA47" s="107"/>
      <c r="AB47" s="107"/>
      <c r="AC47" s="107"/>
    </row>
    <row r="48" ht="28.5" customHeight="1">
      <c r="A48" s="108">
        <v>38.0</v>
      </c>
      <c r="B48" s="110"/>
      <c r="C48" s="110"/>
      <c r="D48" s="162"/>
      <c r="E48" s="133" t="s">
        <v>192</v>
      </c>
      <c r="F48" s="90" t="s">
        <v>193</v>
      </c>
      <c r="G48" s="133" t="s">
        <v>145</v>
      </c>
      <c r="H48" s="179" t="s">
        <v>86</v>
      </c>
      <c r="I48" s="142" t="s">
        <v>194</v>
      </c>
      <c r="J48" s="189"/>
      <c r="K48" s="137"/>
      <c r="L48" s="138" t="s">
        <v>81</v>
      </c>
      <c r="M48" s="141"/>
      <c r="N48" s="140"/>
      <c r="O48" s="140"/>
      <c r="P48" s="140"/>
      <c r="Q48" s="140"/>
      <c r="R48" s="140"/>
      <c r="S48" s="140"/>
      <c r="T48" s="140"/>
      <c r="U48" s="107"/>
      <c r="V48" s="107"/>
      <c r="W48" s="107"/>
      <c r="X48" s="107"/>
      <c r="Y48" s="107"/>
      <c r="Z48" s="107"/>
      <c r="AA48" s="107"/>
      <c r="AB48" s="107"/>
      <c r="AC48" s="107"/>
    </row>
    <row r="49" ht="28.5" customHeight="1">
      <c r="A49" s="108">
        <v>39.0</v>
      </c>
      <c r="B49" s="110"/>
      <c r="C49" s="110"/>
      <c r="D49" s="162"/>
      <c r="E49" s="133" t="s">
        <v>195</v>
      </c>
      <c r="F49" s="90" t="s">
        <v>196</v>
      </c>
      <c r="G49" s="133" t="s">
        <v>145</v>
      </c>
      <c r="H49" s="134" t="s">
        <v>86</v>
      </c>
      <c r="I49" s="142" t="s">
        <v>197</v>
      </c>
      <c r="J49" s="143"/>
      <c r="K49" s="137"/>
      <c r="L49" s="138" t="s">
        <v>81</v>
      </c>
      <c r="M49" s="141"/>
      <c r="N49" s="140"/>
      <c r="O49" s="140"/>
      <c r="P49" s="140"/>
      <c r="Q49" s="140"/>
      <c r="R49" s="140"/>
      <c r="S49" s="140"/>
      <c r="T49" s="140"/>
      <c r="U49" s="107"/>
      <c r="V49" s="107"/>
      <c r="W49" s="107"/>
      <c r="X49" s="107"/>
      <c r="Y49" s="107"/>
      <c r="Z49" s="107"/>
      <c r="AA49" s="107"/>
      <c r="AB49" s="107"/>
      <c r="AC49" s="107"/>
    </row>
    <row r="50" ht="28.5" customHeight="1">
      <c r="A50" s="108">
        <v>40.0</v>
      </c>
      <c r="B50" s="110"/>
      <c r="C50" s="110"/>
      <c r="D50" s="162"/>
      <c r="E50" s="133" t="s">
        <v>198</v>
      </c>
      <c r="F50" s="90" t="s">
        <v>199</v>
      </c>
      <c r="G50" s="133" t="s">
        <v>145</v>
      </c>
      <c r="H50" s="190" t="s">
        <v>86</v>
      </c>
      <c r="I50" s="142" t="s">
        <v>200</v>
      </c>
      <c r="J50" s="136"/>
      <c r="K50" s="137"/>
      <c r="L50" s="138" t="s">
        <v>81</v>
      </c>
      <c r="M50" s="141"/>
      <c r="N50" s="140"/>
      <c r="O50" s="140"/>
      <c r="P50" s="140"/>
      <c r="Q50" s="140"/>
      <c r="R50" s="140"/>
      <c r="S50" s="140"/>
      <c r="T50" s="140"/>
      <c r="U50" s="107"/>
      <c r="V50" s="107"/>
      <c r="W50" s="107"/>
      <c r="X50" s="107"/>
      <c r="Y50" s="107"/>
      <c r="Z50" s="107"/>
      <c r="AA50" s="107"/>
      <c r="AB50" s="107"/>
      <c r="AC50" s="107"/>
    </row>
    <row r="51" ht="28.5" customHeight="1">
      <c r="A51" s="108">
        <v>41.0</v>
      </c>
      <c r="B51" s="110"/>
      <c r="C51" s="110"/>
      <c r="D51" s="162"/>
      <c r="E51" s="133" t="s">
        <v>201</v>
      </c>
      <c r="F51" s="90" t="s">
        <v>202</v>
      </c>
      <c r="G51" s="191" t="s">
        <v>203</v>
      </c>
      <c r="H51" s="134" t="s">
        <v>204</v>
      </c>
      <c r="I51" s="192" t="s">
        <v>205</v>
      </c>
      <c r="J51" s="136"/>
      <c r="K51" s="137"/>
      <c r="L51" s="193" t="s">
        <v>81</v>
      </c>
      <c r="M51" s="141"/>
      <c r="N51" s="140"/>
      <c r="O51" s="140"/>
      <c r="P51" s="140"/>
      <c r="Q51" s="140"/>
      <c r="R51" s="140"/>
      <c r="S51" s="140"/>
      <c r="T51" s="140"/>
      <c r="U51" s="107"/>
      <c r="V51" s="107"/>
      <c r="W51" s="107"/>
      <c r="X51" s="107"/>
      <c r="Y51" s="107"/>
      <c r="Z51" s="107"/>
      <c r="AA51" s="107"/>
      <c r="AB51" s="107"/>
      <c r="AC51" s="107"/>
    </row>
    <row r="52" ht="30.0" customHeight="1">
      <c r="A52" s="108">
        <v>42.0</v>
      </c>
      <c r="B52" s="110"/>
      <c r="C52" s="110"/>
      <c r="D52" s="162"/>
      <c r="E52" s="175" t="s">
        <v>206</v>
      </c>
      <c r="F52" s="133" t="s">
        <v>202</v>
      </c>
      <c r="G52" s="133" t="s">
        <v>78</v>
      </c>
      <c r="H52" s="190" t="s">
        <v>86</v>
      </c>
      <c r="I52" s="142" t="s">
        <v>207</v>
      </c>
      <c r="J52" s="136"/>
      <c r="K52" s="134"/>
      <c r="L52" s="138" t="s">
        <v>81</v>
      </c>
      <c r="M52" s="141"/>
      <c r="N52" s="140"/>
      <c r="O52" s="140"/>
      <c r="P52" s="140"/>
      <c r="Q52" s="140"/>
      <c r="R52" s="140"/>
      <c r="S52" s="140"/>
      <c r="T52" s="140"/>
      <c r="U52" s="107"/>
      <c r="V52" s="107"/>
      <c r="W52" s="107"/>
      <c r="X52" s="107"/>
      <c r="Y52" s="107"/>
      <c r="Z52" s="107"/>
      <c r="AA52" s="107"/>
      <c r="AB52" s="107"/>
      <c r="AC52" s="107"/>
    </row>
    <row r="53" ht="30.0" customHeight="1">
      <c r="A53" s="108">
        <v>43.0</v>
      </c>
      <c r="B53" s="110"/>
      <c r="C53" s="110"/>
      <c r="D53" s="162"/>
      <c r="E53" s="175" t="s">
        <v>208</v>
      </c>
      <c r="F53" s="133" t="s">
        <v>209</v>
      </c>
      <c r="G53" s="133" t="s">
        <v>189</v>
      </c>
      <c r="H53" s="134" t="s">
        <v>86</v>
      </c>
      <c r="I53" s="142" t="s">
        <v>210</v>
      </c>
      <c r="J53" s="143" t="s">
        <v>211</v>
      </c>
      <c r="K53" s="134"/>
      <c r="L53" s="147" t="s">
        <v>101</v>
      </c>
      <c r="M53" s="141"/>
      <c r="N53" s="140"/>
      <c r="O53" s="140"/>
      <c r="P53" s="140"/>
      <c r="Q53" s="140"/>
      <c r="R53" s="140"/>
      <c r="S53" s="140"/>
      <c r="T53" s="140"/>
      <c r="U53" s="107"/>
      <c r="V53" s="107"/>
      <c r="W53" s="107"/>
      <c r="X53" s="107"/>
      <c r="Y53" s="107"/>
      <c r="Z53" s="107"/>
      <c r="AA53" s="107"/>
      <c r="AB53" s="107"/>
      <c r="AC53" s="107"/>
    </row>
    <row r="54" ht="30.0" customHeight="1">
      <c r="A54" s="108">
        <v>44.0</v>
      </c>
      <c r="B54" s="110"/>
      <c r="C54" s="110"/>
      <c r="D54" s="162"/>
      <c r="E54" s="175" t="s">
        <v>212</v>
      </c>
      <c r="F54" s="133" t="s">
        <v>213</v>
      </c>
      <c r="G54" s="133" t="s">
        <v>189</v>
      </c>
      <c r="H54" s="134" t="s">
        <v>86</v>
      </c>
      <c r="I54" s="142" t="s">
        <v>214</v>
      </c>
      <c r="J54" s="143" t="s">
        <v>215</v>
      </c>
      <c r="K54" s="134"/>
      <c r="L54" s="147" t="s">
        <v>101</v>
      </c>
      <c r="M54" s="141"/>
      <c r="N54" s="140"/>
      <c r="O54" s="140"/>
      <c r="P54" s="140"/>
      <c r="Q54" s="140"/>
      <c r="R54" s="140"/>
      <c r="S54" s="140"/>
      <c r="T54" s="140"/>
      <c r="U54" s="107"/>
      <c r="V54" s="107"/>
      <c r="W54" s="107"/>
      <c r="X54" s="107"/>
      <c r="Y54" s="107"/>
      <c r="Z54" s="107"/>
      <c r="AA54" s="107"/>
      <c r="AB54" s="107"/>
      <c r="AC54" s="107"/>
    </row>
    <row r="55" ht="29.25" customHeight="1">
      <c r="A55" s="144">
        <v>45.0</v>
      </c>
      <c r="B55" s="110"/>
      <c r="C55" s="110"/>
      <c r="D55" s="162"/>
      <c r="E55" s="194" t="s">
        <v>216</v>
      </c>
      <c r="F55" s="133" t="s">
        <v>217</v>
      </c>
      <c r="G55" s="133" t="s">
        <v>189</v>
      </c>
      <c r="H55" s="134" t="s">
        <v>86</v>
      </c>
      <c r="I55" s="142" t="s">
        <v>218</v>
      </c>
      <c r="J55" s="143" t="s">
        <v>219</v>
      </c>
      <c r="K55" s="134"/>
      <c r="L55" s="147" t="s">
        <v>101</v>
      </c>
      <c r="M55" s="195"/>
      <c r="N55" s="140"/>
      <c r="O55" s="140"/>
      <c r="P55" s="140"/>
      <c r="Q55" s="140"/>
      <c r="R55" s="140"/>
      <c r="S55" s="140"/>
      <c r="T55" s="140"/>
      <c r="U55" s="107"/>
      <c r="V55" s="107"/>
      <c r="W55" s="107"/>
      <c r="X55" s="107"/>
      <c r="Y55" s="107"/>
      <c r="Z55" s="107"/>
      <c r="AA55" s="107"/>
      <c r="AB55" s="107"/>
      <c r="AC55" s="107"/>
    </row>
    <row r="56" ht="33.75" customHeight="1">
      <c r="A56" s="114">
        <v>46.0</v>
      </c>
      <c r="B56" s="110"/>
      <c r="C56" s="110"/>
      <c r="D56" s="164"/>
      <c r="E56" s="194" t="s">
        <v>220</v>
      </c>
      <c r="F56" s="90" t="s">
        <v>221</v>
      </c>
      <c r="G56" s="133" t="s">
        <v>145</v>
      </c>
      <c r="H56" s="134" t="s">
        <v>86</v>
      </c>
      <c r="I56" s="142" t="s">
        <v>218</v>
      </c>
      <c r="J56" s="136"/>
      <c r="K56" s="134"/>
      <c r="L56" s="138" t="s">
        <v>81</v>
      </c>
      <c r="M56" s="195"/>
      <c r="N56" s="140"/>
      <c r="O56" s="140"/>
      <c r="P56" s="140"/>
      <c r="Q56" s="140"/>
      <c r="R56" s="140"/>
      <c r="S56" s="140"/>
      <c r="T56" s="140"/>
      <c r="U56" s="107"/>
      <c r="V56" s="107"/>
      <c r="W56" s="107"/>
      <c r="X56" s="107"/>
      <c r="Y56" s="107"/>
      <c r="Z56" s="107"/>
      <c r="AA56" s="107"/>
      <c r="AB56" s="107"/>
      <c r="AC56" s="107"/>
    </row>
    <row r="57" ht="10.5" customHeight="1">
      <c r="A57" s="196"/>
      <c r="B57" s="197"/>
      <c r="C57" s="197"/>
      <c r="D57" s="198"/>
      <c r="E57" s="199"/>
      <c r="F57" s="199"/>
      <c r="G57" s="199"/>
      <c r="H57" s="200"/>
      <c r="I57" s="201"/>
      <c r="J57" s="199"/>
      <c r="K57" s="200"/>
      <c r="L57" s="202"/>
      <c r="M57" s="203"/>
      <c r="N57" s="204"/>
      <c r="O57" s="204"/>
      <c r="P57" s="204"/>
      <c r="Q57" s="204"/>
      <c r="R57" s="204"/>
      <c r="S57" s="204"/>
      <c r="T57" s="204"/>
      <c r="U57" s="205"/>
      <c r="V57" s="205"/>
      <c r="W57" s="205"/>
      <c r="X57" s="205"/>
      <c r="Y57" s="205"/>
      <c r="Z57" s="205"/>
      <c r="AA57" s="205"/>
      <c r="AB57" s="205"/>
      <c r="AC57" s="205"/>
    </row>
    <row r="58" ht="29.25" customHeight="1">
      <c r="A58" s="108">
        <v>47.0</v>
      </c>
      <c r="B58" s="109" t="s">
        <v>222</v>
      </c>
      <c r="C58" s="110"/>
      <c r="D58" s="159" t="s">
        <v>223</v>
      </c>
      <c r="E58" s="194" t="s">
        <v>224</v>
      </c>
      <c r="F58" s="90" t="s">
        <v>225</v>
      </c>
      <c r="G58" s="133" t="s">
        <v>145</v>
      </c>
      <c r="H58" s="190" t="s">
        <v>86</v>
      </c>
      <c r="I58" s="142" t="s">
        <v>226</v>
      </c>
      <c r="J58" s="136"/>
      <c r="K58" s="134"/>
      <c r="L58" s="138" t="s">
        <v>81</v>
      </c>
      <c r="M58" s="195"/>
      <c r="N58" s="140"/>
      <c r="O58" s="140"/>
      <c r="P58" s="140"/>
      <c r="Q58" s="140"/>
      <c r="R58" s="140"/>
      <c r="S58" s="140"/>
      <c r="T58" s="140"/>
      <c r="U58" s="107"/>
      <c r="V58" s="107"/>
      <c r="W58" s="107"/>
      <c r="X58" s="107"/>
      <c r="Y58" s="107"/>
      <c r="Z58" s="107"/>
      <c r="AA58" s="107"/>
      <c r="AB58" s="107"/>
      <c r="AC58" s="107"/>
    </row>
    <row r="59" ht="29.25" customHeight="1">
      <c r="A59" s="108">
        <v>48.0</v>
      </c>
      <c r="B59" s="110"/>
      <c r="C59" s="110"/>
      <c r="D59" s="162"/>
      <c r="E59" s="194" t="s">
        <v>227</v>
      </c>
      <c r="F59" s="90" t="s">
        <v>228</v>
      </c>
      <c r="G59" s="133" t="s">
        <v>145</v>
      </c>
      <c r="H59" s="134">
        <v>-10.0</v>
      </c>
      <c r="I59" s="142" t="s">
        <v>229</v>
      </c>
      <c r="J59" s="136"/>
      <c r="K59" s="134"/>
      <c r="L59" s="138" t="s">
        <v>81</v>
      </c>
      <c r="M59" s="195"/>
      <c r="N59" s="140"/>
      <c r="O59" s="140"/>
      <c r="P59" s="140"/>
      <c r="Q59" s="140"/>
      <c r="R59" s="140"/>
      <c r="S59" s="140"/>
      <c r="T59" s="140"/>
      <c r="U59" s="107"/>
      <c r="V59" s="107"/>
      <c r="W59" s="107"/>
      <c r="X59" s="107"/>
      <c r="Y59" s="107"/>
      <c r="Z59" s="107"/>
      <c r="AA59" s="107"/>
      <c r="AB59" s="107"/>
      <c r="AC59" s="107"/>
    </row>
    <row r="60" ht="29.25" customHeight="1">
      <c r="A60" s="108">
        <v>49.0</v>
      </c>
      <c r="B60" s="110"/>
      <c r="C60" s="110"/>
      <c r="D60" s="162"/>
      <c r="E60" s="194" t="s">
        <v>230</v>
      </c>
      <c r="F60" s="90" t="s">
        <v>231</v>
      </c>
      <c r="G60" s="133" t="s">
        <v>145</v>
      </c>
      <c r="H60" s="134" t="s">
        <v>232</v>
      </c>
      <c r="I60" s="142" t="s">
        <v>233</v>
      </c>
      <c r="J60" s="136"/>
      <c r="K60" s="134"/>
      <c r="L60" s="138" t="s">
        <v>81</v>
      </c>
      <c r="M60" s="195"/>
      <c r="N60" s="140"/>
      <c r="O60" s="140"/>
      <c r="P60" s="140"/>
      <c r="Q60" s="140"/>
      <c r="R60" s="140"/>
      <c r="S60" s="140"/>
      <c r="T60" s="140"/>
      <c r="U60" s="107"/>
      <c r="V60" s="107"/>
      <c r="W60" s="107"/>
      <c r="X60" s="107"/>
      <c r="Y60" s="107"/>
      <c r="Z60" s="107"/>
      <c r="AA60" s="107"/>
      <c r="AB60" s="107"/>
      <c r="AC60" s="107"/>
    </row>
    <row r="61" ht="29.25" customHeight="1">
      <c r="A61" s="108">
        <v>50.0</v>
      </c>
      <c r="B61" s="110"/>
      <c r="C61" s="110"/>
      <c r="D61" s="162"/>
      <c r="E61" s="194" t="s">
        <v>234</v>
      </c>
      <c r="F61" s="90" t="s">
        <v>235</v>
      </c>
      <c r="G61" s="133" t="s">
        <v>145</v>
      </c>
      <c r="H61" s="134" t="s">
        <v>86</v>
      </c>
      <c r="I61" s="142" t="s">
        <v>236</v>
      </c>
      <c r="J61" s="136"/>
      <c r="K61" s="134"/>
      <c r="L61" s="138" t="s">
        <v>81</v>
      </c>
      <c r="M61" s="195"/>
      <c r="N61" s="140"/>
      <c r="O61" s="140"/>
      <c r="P61" s="140"/>
      <c r="Q61" s="140"/>
      <c r="R61" s="140"/>
      <c r="S61" s="140"/>
      <c r="T61" s="140"/>
      <c r="U61" s="107"/>
      <c r="V61" s="107"/>
      <c r="W61" s="107"/>
      <c r="X61" s="107"/>
      <c r="Y61" s="107"/>
      <c r="Z61" s="107"/>
      <c r="AA61" s="107"/>
      <c r="AB61" s="107"/>
      <c r="AC61" s="107"/>
    </row>
    <row r="62" ht="29.25" customHeight="1">
      <c r="A62" s="108">
        <v>51.0</v>
      </c>
      <c r="B62" s="110"/>
      <c r="C62" s="110"/>
      <c r="D62" s="162"/>
      <c r="E62" s="194" t="s">
        <v>237</v>
      </c>
      <c r="F62" s="90" t="s">
        <v>238</v>
      </c>
      <c r="G62" s="133" t="s">
        <v>145</v>
      </c>
      <c r="H62" s="134" t="s">
        <v>86</v>
      </c>
      <c r="I62" s="142" t="s">
        <v>236</v>
      </c>
      <c r="J62" s="136"/>
      <c r="K62" s="134"/>
      <c r="L62" s="138" t="s">
        <v>81</v>
      </c>
      <c r="M62" s="195"/>
      <c r="N62" s="140"/>
      <c r="O62" s="140"/>
      <c r="P62" s="140"/>
      <c r="Q62" s="140"/>
      <c r="R62" s="140"/>
      <c r="S62" s="140"/>
      <c r="T62" s="140"/>
      <c r="U62" s="107"/>
      <c r="V62" s="107"/>
      <c r="W62" s="107"/>
      <c r="X62" s="107"/>
      <c r="Y62" s="107"/>
      <c r="Z62" s="107"/>
      <c r="AA62" s="107"/>
      <c r="AB62" s="107"/>
      <c r="AC62" s="107"/>
    </row>
    <row r="63" ht="29.25" customHeight="1">
      <c r="A63" s="108">
        <v>52.0</v>
      </c>
      <c r="B63" s="110"/>
      <c r="C63" s="110"/>
      <c r="D63" s="164"/>
      <c r="E63" s="194" t="s">
        <v>239</v>
      </c>
      <c r="F63" s="90" t="s">
        <v>240</v>
      </c>
      <c r="G63" s="133" t="s">
        <v>189</v>
      </c>
      <c r="H63" s="134" t="s">
        <v>86</v>
      </c>
      <c r="I63" s="142" t="s">
        <v>241</v>
      </c>
      <c r="J63" s="143" t="s">
        <v>242</v>
      </c>
      <c r="K63" s="134"/>
      <c r="L63" s="147" t="s">
        <v>101</v>
      </c>
      <c r="M63" s="195"/>
      <c r="N63" s="140"/>
      <c r="O63" s="140"/>
      <c r="P63" s="140"/>
      <c r="Q63" s="140"/>
      <c r="R63" s="140"/>
      <c r="S63" s="140"/>
      <c r="T63" s="140"/>
      <c r="U63" s="107"/>
      <c r="V63" s="107"/>
      <c r="W63" s="107"/>
      <c r="X63" s="107"/>
      <c r="Y63" s="107"/>
      <c r="Z63" s="107"/>
      <c r="AA63" s="107"/>
      <c r="AB63" s="107"/>
      <c r="AC63" s="107"/>
    </row>
    <row r="64" ht="15.0" customHeight="1">
      <c r="A64" s="97"/>
      <c r="B64" s="98"/>
      <c r="C64" s="98"/>
      <c r="D64" s="149"/>
      <c r="E64" s="151"/>
      <c r="F64" s="151"/>
      <c r="G64" s="151"/>
      <c r="H64" s="206"/>
      <c r="I64" s="153"/>
      <c r="J64" s="154"/>
      <c r="K64" s="206"/>
      <c r="L64" s="152"/>
      <c r="M64" s="207"/>
      <c r="N64" s="140"/>
      <c r="O64" s="140"/>
      <c r="P64" s="140"/>
      <c r="Q64" s="140"/>
      <c r="R64" s="140"/>
      <c r="S64" s="140"/>
      <c r="T64" s="140"/>
      <c r="U64" s="107"/>
      <c r="V64" s="107"/>
      <c r="W64" s="107"/>
      <c r="X64" s="107"/>
      <c r="Y64" s="107"/>
      <c r="Z64" s="107"/>
      <c r="AA64" s="107"/>
      <c r="AB64" s="107"/>
      <c r="AC64" s="107"/>
    </row>
    <row r="65" ht="29.25" customHeight="1">
      <c r="A65" s="108">
        <v>53.0</v>
      </c>
      <c r="B65" s="110" t="s">
        <v>243</v>
      </c>
      <c r="C65" s="110"/>
      <c r="D65" s="159" t="s">
        <v>244</v>
      </c>
      <c r="E65" s="133" t="s">
        <v>245</v>
      </c>
      <c r="F65" s="133" t="s">
        <v>246</v>
      </c>
      <c r="G65" s="133" t="s">
        <v>145</v>
      </c>
      <c r="H65" s="190" t="s">
        <v>86</v>
      </c>
      <c r="I65" s="142" t="s">
        <v>247</v>
      </c>
      <c r="J65" s="136"/>
      <c r="K65" s="134"/>
      <c r="L65" s="138" t="s">
        <v>81</v>
      </c>
      <c r="M65" s="195"/>
      <c r="N65" s="140"/>
      <c r="O65" s="140"/>
      <c r="P65" s="140"/>
      <c r="Q65" s="140"/>
      <c r="R65" s="140"/>
      <c r="S65" s="140"/>
      <c r="T65" s="140"/>
      <c r="U65" s="107"/>
      <c r="V65" s="107"/>
      <c r="W65" s="107"/>
      <c r="X65" s="107"/>
      <c r="Y65" s="107"/>
      <c r="Z65" s="107"/>
      <c r="AA65" s="107"/>
      <c r="AB65" s="107"/>
      <c r="AC65" s="107"/>
    </row>
    <row r="66" ht="29.25" customHeight="1">
      <c r="A66" s="108">
        <v>54.0</v>
      </c>
      <c r="B66" s="110"/>
      <c r="C66" s="110"/>
      <c r="D66" s="162"/>
      <c r="E66" s="133" t="s">
        <v>248</v>
      </c>
      <c r="F66" s="133" t="s">
        <v>246</v>
      </c>
      <c r="G66" s="133" t="s">
        <v>145</v>
      </c>
      <c r="H66" s="134" t="s">
        <v>86</v>
      </c>
      <c r="I66" s="142" t="s">
        <v>249</v>
      </c>
      <c r="J66" s="136"/>
      <c r="K66" s="134"/>
      <c r="L66" s="138" t="s">
        <v>81</v>
      </c>
      <c r="M66" s="195"/>
      <c r="N66" s="140"/>
      <c r="O66" s="140"/>
      <c r="P66" s="140"/>
      <c r="Q66" s="140"/>
      <c r="R66" s="140"/>
      <c r="S66" s="140"/>
      <c r="T66" s="140"/>
      <c r="U66" s="107"/>
      <c r="V66" s="107"/>
      <c r="W66" s="107"/>
      <c r="X66" s="107"/>
      <c r="Y66" s="107"/>
      <c r="Z66" s="107"/>
      <c r="AA66" s="107"/>
      <c r="AB66" s="107"/>
      <c r="AC66" s="107"/>
    </row>
    <row r="67" ht="29.25" customHeight="1">
      <c r="A67" s="108">
        <v>55.0</v>
      </c>
      <c r="B67" s="110"/>
      <c r="C67" s="110"/>
      <c r="D67" s="162"/>
      <c r="E67" s="133" t="s">
        <v>250</v>
      </c>
      <c r="F67" s="133" t="s">
        <v>246</v>
      </c>
      <c r="G67" s="133" t="s">
        <v>145</v>
      </c>
      <c r="H67" s="134" t="s">
        <v>86</v>
      </c>
      <c r="I67" s="142" t="s">
        <v>251</v>
      </c>
      <c r="J67" s="136"/>
      <c r="K67" s="134"/>
      <c r="L67" s="138" t="s">
        <v>81</v>
      </c>
      <c r="M67" s="195"/>
      <c r="N67" s="140"/>
      <c r="O67" s="140"/>
      <c r="P67" s="140"/>
      <c r="Q67" s="140"/>
      <c r="R67" s="140"/>
      <c r="S67" s="140"/>
      <c r="T67" s="140"/>
      <c r="U67" s="107"/>
      <c r="V67" s="107"/>
      <c r="W67" s="107"/>
      <c r="X67" s="107"/>
      <c r="Y67" s="107"/>
      <c r="Z67" s="107"/>
      <c r="AA67" s="107"/>
      <c r="AB67" s="107"/>
      <c r="AC67" s="107"/>
    </row>
    <row r="68" ht="29.25" customHeight="1">
      <c r="A68" s="108">
        <v>56.0</v>
      </c>
      <c r="B68" s="110"/>
      <c r="C68" s="110"/>
      <c r="D68" s="162"/>
      <c r="E68" s="133" t="s">
        <v>252</v>
      </c>
      <c r="F68" s="133" t="s">
        <v>253</v>
      </c>
      <c r="G68" s="133" t="s">
        <v>145</v>
      </c>
      <c r="H68" s="134" t="s">
        <v>86</v>
      </c>
      <c r="I68" s="142" t="s">
        <v>254</v>
      </c>
      <c r="J68" s="136"/>
      <c r="K68" s="134"/>
      <c r="L68" s="138" t="s">
        <v>81</v>
      </c>
      <c r="M68" s="195"/>
      <c r="N68" s="140"/>
      <c r="O68" s="140"/>
      <c r="P68" s="140"/>
      <c r="Q68" s="140"/>
      <c r="R68" s="140"/>
      <c r="S68" s="140"/>
      <c r="T68" s="140"/>
      <c r="U68" s="107"/>
      <c r="V68" s="107"/>
      <c r="W68" s="107"/>
      <c r="X68" s="107"/>
      <c r="Y68" s="107"/>
      <c r="Z68" s="107"/>
      <c r="AA68" s="107"/>
      <c r="AB68" s="107"/>
      <c r="AC68" s="107"/>
    </row>
    <row r="69" ht="29.25" customHeight="1">
      <c r="A69" s="208">
        <v>57.0</v>
      </c>
      <c r="B69" s="110"/>
      <c r="C69" s="110"/>
      <c r="D69" s="164"/>
      <c r="E69" s="133" t="s">
        <v>255</v>
      </c>
      <c r="F69" s="133" t="s">
        <v>256</v>
      </c>
      <c r="G69" s="133" t="s">
        <v>145</v>
      </c>
      <c r="H69" s="134" t="s">
        <v>257</v>
      </c>
      <c r="I69" s="142" t="s">
        <v>254</v>
      </c>
      <c r="J69" s="136"/>
      <c r="K69" s="134"/>
      <c r="L69" s="138" t="s">
        <v>81</v>
      </c>
      <c r="M69" s="195"/>
      <c r="N69" s="140"/>
      <c r="O69" s="140"/>
      <c r="P69" s="140"/>
      <c r="Q69" s="140"/>
      <c r="R69" s="140"/>
      <c r="S69" s="140"/>
      <c r="T69" s="140"/>
      <c r="U69" s="107"/>
      <c r="V69" s="107"/>
      <c r="W69" s="107"/>
      <c r="X69" s="107"/>
      <c r="Y69" s="107"/>
      <c r="Z69" s="107"/>
      <c r="AA69" s="107"/>
      <c r="AB69" s="107"/>
      <c r="AC69" s="107"/>
    </row>
    <row r="70" ht="14.25" customHeight="1">
      <c r="A70" s="97"/>
      <c r="B70" s="98"/>
      <c r="C70" s="98"/>
      <c r="D70" s="149"/>
      <c r="E70" s="209"/>
      <c r="F70" s="151"/>
      <c r="G70" s="151"/>
      <c r="H70" s="206"/>
      <c r="I70" s="153"/>
      <c r="J70" s="154"/>
      <c r="K70" s="206"/>
      <c r="L70" s="152"/>
      <c r="M70" s="207"/>
      <c r="N70" s="140"/>
      <c r="O70" s="140"/>
      <c r="P70" s="140"/>
      <c r="Q70" s="140"/>
      <c r="R70" s="140"/>
      <c r="S70" s="140"/>
      <c r="T70" s="140"/>
      <c r="U70" s="107"/>
      <c r="V70" s="107"/>
      <c r="W70" s="107"/>
      <c r="X70" s="107"/>
      <c r="Y70" s="107"/>
      <c r="Z70" s="107"/>
      <c r="AA70" s="107"/>
      <c r="AB70" s="107"/>
      <c r="AC70" s="107"/>
    </row>
    <row r="71" ht="29.25" customHeight="1">
      <c r="A71" s="108">
        <v>58.0</v>
      </c>
      <c r="B71" s="110" t="s">
        <v>258</v>
      </c>
      <c r="C71" s="110"/>
      <c r="D71" s="159" t="s">
        <v>259</v>
      </c>
      <c r="E71" s="194" t="s">
        <v>260</v>
      </c>
      <c r="F71" s="90" t="s">
        <v>261</v>
      </c>
      <c r="G71" s="133" t="s">
        <v>145</v>
      </c>
      <c r="H71" s="134" t="s">
        <v>86</v>
      </c>
      <c r="I71" s="142" t="s">
        <v>262</v>
      </c>
      <c r="J71" s="136"/>
      <c r="K71" s="134"/>
      <c r="L71" s="138" t="s">
        <v>81</v>
      </c>
      <c r="M71" s="195"/>
      <c r="N71" s="140"/>
      <c r="O71" s="140"/>
      <c r="P71" s="140"/>
      <c r="Q71" s="140"/>
      <c r="R71" s="140"/>
      <c r="S71" s="140"/>
      <c r="T71" s="140"/>
      <c r="U71" s="107"/>
      <c r="V71" s="107"/>
      <c r="W71" s="107"/>
      <c r="X71" s="107"/>
      <c r="Y71" s="107"/>
      <c r="Z71" s="107"/>
      <c r="AA71" s="107"/>
      <c r="AB71" s="107"/>
      <c r="AC71" s="107"/>
    </row>
    <row r="72" ht="29.25" customHeight="1">
      <c r="A72" s="108">
        <v>59.0</v>
      </c>
      <c r="B72" s="110"/>
      <c r="C72" s="110"/>
      <c r="D72" s="162"/>
      <c r="E72" s="194" t="s">
        <v>263</v>
      </c>
      <c r="F72" s="90" t="s">
        <v>264</v>
      </c>
      <c r="G72" s="133" t="s">
        <v>145</v>
      </c>
      <c r="H72" s="134" t="s">
        <v>86</v>
      </c>
      <c r="I72" s="142" t="s">
        <v>265</v>
      </c>
      <c r="J72" s="136"/>
      <c r="K72" s="134"/>
      <c r="L72" s="138" t="s">
        <v>81</v>
      </c>
      <c r="M72" s="195"/>
      <c r="N72" s="140"/>
      <c r="O72" s="140"/>
      <c r="P72" s="140"/>
      <c r="Q72" s="140"/>
      <c r="R72" s="140"/>
      <c r="S72" s="140"/>
      <c r="T72" s="140"/>
      <c r="U72" s="107"/>
      <c r="V72" s="107"/>
      <c r="W72" s="107"/>
      <c r="X72" s="107"/>
      <c r="Y72" s="107"/>
      <c r="Z72" s="107"/>
      <c r="AA72" s="107"/>
      <c r="AB72" s="107"/>
      <c r="AC72" s="107"/>
    </row>
    <row r="73" ht="29.25" customHeight="1">
      <c r="A73" s="108">
        <v>60.0</v>
      </c>
      <c r="B73" s="110"/>
      <c r="C73" s="110"/>
      <c r="D73" s="162"/>
      <c r="E73" s="194" t="s">
        <v>266</v>
      </c>
      <c r="F73" s="90" t="s">
        <v>267</v>
      </c>
      <c r="G73" s="133" t="s">
        <v>145</v>
      </c>
      <c r="H73" s="134" t="s">
        <v>86</v>
      </c>
      <c r="I73" s="142" t="s">
        <v>268</v>
      </c>
      <c r="J73" s="133"/>
      <c r="K73" s="134"/>
      <c r="L73" s="138" t="s">
        <v>81</v>
      </c>
      <c r="M73" s="195"/>
      <c r="N73" s="140"/>
      <c r="O73" s="140"/>
      <c r="P73" s="140"/>
      <c r="Q73" s="140"/>
      <c r="R73" s="140"/>
      <c r="S73" s="140"/>
      <c r="T73" s="140"/>
      <c r="U73" s="107"/>
      <c r="V73" s="107"/>
      <c r="W73" s="107"/>
      <c r="X73" s="107"/>
      <c r="Y73" s="107"/>
      <c r="Z73" s="107"/>
      <c r="AA73" s="107"/>
      <c r="AB73" s="107"/>
      <c r="AC73" s="107"/>
    </row>
    <row r="74" ht="29.25" customHeight="1">
      <c r="A74" s="108">
        <v>61.0</v>
      </c>
      <c r="B74" s="110"/>
      <c r="C74" s="110"/>
      <c r="D74" s="162"/>
      <c r="E74" s="194" t="s">
        <v>269</v>
      </c>
      <c r="F74" s="90" t="s">
        <v>270</v>
      </c>
      <c r="G74" s="133" t="s">
        <v>189</v>
      </c>
      <c r="H74" s="134" t="s">
        <v>271</v>
      </c>
      <c r="I74" s="135" t="s">
        <v>272</v>
      </c>
      <c r="J74" s="143" t="s">
        <v>273</v>
      </c>
      <c r="K74" s="134"/>
      <c r="L74" s="138" t="s">
        <v>101</v>
      </c>
      <c r="M74" s="195"/>
      <c r="N74" s="140"/>
      <c r="O74" s="140"/>
      <c r="P74" s="140"/>
      <c r="Q74" s="140"/>
      <c r="R74" s="140"/>
      <c r="S74" s="140"/>
      <c r="T74" s="140"/>
      <c r="U74" s="210"/>
      <c r="V74" s="210"/>
      <c r="W74" s="210"/>
      <c r="X74" s="210"/>
      <c r="Y74" s="210"/>
      <c r="Z74" s="210"/>
      <c r="AA74" s="210"/>
      <c r="AB74" s="210"/>
      <c r="AC74" s="210"/>
    </row>
    <row r="75" ht="30.75" customHeight="1">
      <c r="A75" s="108">
        <v>62.0</v>
      </c>
      <c r="B75" s="110"/>
      <c r="C75" s="110"/>
      <c r="D75" s="162"/>
      <c r="E75" s="194" t="s">
        <v>274</v>
      </c>
      <c r="F75" s="90" t="s">
        <v>275</v>
      </c>
      <c r="G75" s="133" t="s">
        <v>145</v>
      </c>
      <c r="H75" s="134" t="s">
        <v>86</v>
      </c>
      <c r="I75" s="142" t="s">
        <v>268</v>
      </c>
      <c r="J75" s="133"/>
      <c r="K75" s="134"/>
      <c r="L75" s="114" t="s">
        <v>81</v>
      </c>
      <c r="M75" s="195"/>
      <c r="N75" s="140"/>
      <c r="O75" s="140"/>
      <c r="P75" s="140"/>
      <c r="Q75" s="140"/>
      <c r="R75" s="140"/>
      <c r="S75" s="140"/>
      <c r="T75" s="140"/>
      <c r="U75" s="107"/>
      <c r="V75" s="107"/>
      <c r="W75" s="107"/>
      <c r="X75" s="107"/>
      <c r="Y75" s="107"/>
      <c r="Z75" s="107"/>
      <c r="AA75" s="107"/>
      <c r="AB75" s="107"/>
      <c r="AC75" s="107"/>
    </row>
    <row r="76" ht="30.0" customHeight="1">
      <c r="A76" s="108">
        <v>63.0</v>
      </c>
      <c r="B76" s="110"/>
      <c r="C76" s="110"/>
      <c r="D76" s="162"/>
      <c r="E76" s="194" t="s">
        <v>276</v>
      </c>
      <c r="F76" s="90" t="s">
        <v>277</v>
      </c>
      <c r="G76" s="133" t="s">
        <v>145</v>
      </c>
      <c r="H76" s="134" t="s">
        <v>86</v>
      </c>
      <c r="I76" s="142" t="s">
        <v>278</v>
      </c>
      <c r="J76" s="133"/>
      <c r="K76" s="134"/>
      <c r="L76" s="114" t="s">
        <v>81</v>
      </c>
      <c r="M76" s="195"/>
      <c r="N76" s="140"/>
      <c r="O76" s="140"/>
      <c r="P76" s="140"/>
      <c r="Q76" s="140"/>
      <c r="R76" s="140"/>
      <c r="S76" s="140"/>
      <c r="T76" s="140"/>
      <c r="U76" s="107"/>
      <c r="V76" s="107"/>
      <c r="W76" s="107"/>
      <c r="X76" s="107"/>
      <c r="Y76" s="107"/>
      <c r="Z76" s="107"/>
      <c r="AA76" s="107"/>
      <c r="AB76" s="107"/>
      <c r="AC76" s="107"/>
    </row>
    <row r="77" ht="30.0" customHeight="1">
      <c r="A77" s="108">
        <v>64.0</v>
      </c>
      <c r="B77" s="110"/>
      <c r="C77" s="110"/>
      <c r="D77" s="162"/>
      <c r="E77" s="194" t="s">
        <v>279</v>
      </c>
      <c r="F77" s="90" t="s">
        <v>280</v>
      </c>
      <c r="G77" s="133" t="s">
        <v>145</v>
      </c>
      <c r="H77" s="134" t="s">
        <v>86</v>
      </c>
      <c r="I77" s="142" t="s">
        <v>281</v>
      </c>
      <c r="J77" s="133"/>
      <c r="K77" s="134"/>
      <c r="L77" s="114" t="s">
        <v>81</v>
      </c>
      <c r="M77" s="195"/>
      <c r="N77" s="140"/>
      <c r="O77" s="140"/>
      <c r="P77" s="140"/>
      <c r="Q77" s="140"/>
      <c r="R77" s="140"/>
      <c r="S77" s="140"/>
      <c r="T77" s="140"/>
      <c r="U77" s="107"/>
      <c r="V77" s="107"/>
      <c r="W77" s="107"/>
      <c r="X77" s="107"/>
      <c r="Y77" s="107"/>
      <c r="Z77" s="107"/>
      <c r="AA77" s="107"/>
      <c r="AB77" s="107"/>
      <c r="AC77" s="107"/>
    </row>
    <row r="78" ht="30.0" customHeight="1">
      <c r="A78" s="108">
        <v>65.0</v>
      </c>
      <c r="B78" s="110"/>
      <c r="C78" s="110"/>
      <c r="D78" s="162"/>
      <c r="E78" s="194" t="s">
        <v>282</v>
      </c>
      <c r="F78" s="90" t="s">
        <v>283</v>
      </c>
      <c r="G78" s="133" t="s">
        <v>145</v>
      </c>
      <c r="H78" s="134" t="s">
        <v>86</v>
      </c>
      <c r="I78" s="142" t="s">
        <v>284</v>
      </c>
      <c r="J78" s="133"/>
      <c r="K78" s="134"/>
      <c r="L78" s="114" t="s">
        <v>81</v>
      </c>
      <c r="M78" s="195"/>
      <c r="N78" s="140"/>
      <c r="O78" s="140"/>
      <c r="P78" s="140"/>
      <c r="Q78" s="140"/>
      <c r="R78" s="140"/>
      <c r="S78" s="140"/>
      <c r="T78" s="140"/>
      <c r="U78" s="107"/>
      <c r="V78" s="107"/>
      <c r="W78" s="107"/>
      <c r="X78" s="107"/>
      <c r="Y78" s="107"/>
      <c r="Z78" s="107"/>
      <c r="AA78" s="107"/>
      <c r="AB78" s="107"/>
      <c r="AC78" s="107"/>
    </row>
    <row r="79" ht="30.0" customHeight="1">
      <c r="A79" s="108">
        <v>66.0</v>
      </c>
      <c r="B79" s="110"/>
      <c r="C79" s="110"/>
      <c r="D79" s="162"/>
      <c r="E79" s="194" t="s">
        <v>285</v>
      </c>
      <c r="F79" s="90" t="s">
        <v>286</v>
      </c>
      <c r="G79" s="133" t="s">
        <v>189</v>
      </c>
      <c r="H79" s="190" t="s">
        <v>86</v>
      </c>
      <c r="I79" s="142" t="s">
        <v>287</v>
      </c>
      <c r="J79" s="143" t="s">
        <v>288</v>
      </c>
      <c r="K79" s="134"/>
      <c r="L79" s="114" t="s">
        <v>101</v>
      </c>
      <c r="M79" s="195"/>
      <c r="N79" s="140"/>
      <c r="O79" s="140"/>
      <c r="P79" s="140"/>
      <c r="Q79" s="140"/>
      <c r="R79" s="140"/>
      <c r="S79" s="140"/>
      <c r="T79" s="140"/>
      <c r="U79" s="107"/>
      <c r="V79" s="107"/>
      <c r="W79" s="107"/>
      <c r="X79" s="107"/>
      <c r="Y79" s="107"/>
      <c r="Z79" s="107"/>
      <c r="AA79" s="107"/>
      <c r="AB79" s="107"/>
      <c r="AC79" s="107"/>
    </row>
    <row r="80" ht="30.0" customHeight="1">
      <c r="A80" s="108">
        <v>67.0</v>
      </c>
      <c r="B80" s="110"/>
      <c r="C80" s="110"/>
      <c r="D80" s="162"/>
      <c r="E80" s="194" t="s">
        <v>289</v>
      </c>
      <c r="F80" s="90" t="s">
        <v>290</v>
      </c>
      <c r="G80" s="133" t="s">
        <v>189</v>
      </c>
      <c r="H80" s="134" t="s">
        <v>86</v>
      </c>
      <c r="I80" s="142" t="s">
        <v>287</v>
      </c>
      <c r="J80" s="143" t="s">
        <v>291</v>
      </c>
      <c r="K80" s="134"/>
      <c r="L80" s="114" t="s">
        <v>101</v>
      </c>
      <c r="M80" s="195"/>
      <c r="N80" s="140"/>
      <c r="O80" s="140"/>
      <c r="P80" s="140"/>
      <c r="Q80" s="140"/>
      <c r="R80" s="140"/>
      <c r="S80" s="140"/>
      <c r="T80" s="140"/>
      <c r="U80" s="107"/>
      <c r="V80" s="107"/>
      <c r="W80" s="107"/>
      <c r="X80" s="107"/>
      <c r="Y80" s="107"/>
      <c r="Z80" s="107"/>
      <c r="AA80" s="107"/>
      <c r="AB80" s="107"/>
      <c r="AC80" s="107"/>
    </row>
    <row r="81" ht="29.25" customHeight="1">
      <c r="A81" s="144">
        <v>68.0</v>
      </c>
      <c r="B81" s="110"/>
      <c r="C81" s="110"/>
      <c r="D81" s="162"/>
      <c r="E81" s="194" t="s">
        <v>292</v>
      </c>
      <c r="F81" s="90" t="s">
        <v>293</v>
      </c>
      <c r="G81" s="133" t="s">
        <v>189</v>
      </c>
      <c r="H81" s="134" t="s">
        <v>86</v>
      </c>
      <c r="I81" s="142" t="s">
        <v>287</v>
      </c>
      <c r="J81" s="143" t="s">
        <v>294</v>
      </c>
      <c r="K81" s="134"/>
      <c r="L81" s="114" t="s">
        <v>101</v>
      </c>
      <c r="M81" s="195"/>
      <c r="N81" s="140"/>
      <c r="O81" s="140"/>
      <c r="P81" s="140"/>
      <c r="Q81" s="140"/>
      <c r="R81" s="140"/>
      <c r="S81" s="140"/>
      <c r="T81" s="140"/>
      <c r="U81" s="107"/>
      <c r="V81" s="107"/>
      <c r="W81" s="107"/>
      <c r="X81" s="107"/>
      <c r="Y81" s="107"/>
      <c r="Z81" s="107"/>
      <c r="AA81" s="107"/>
      <c r="AB81" s="107"/>
      <c r="AC81" s="107"/>
    </row>
    <row r="82" ht="29.25" customHeight="1">
      <c r="A82" s="211">
        <v>69.0</v>
      </c>
      <c r="B82" s="110"/>
      <c r="C82" s="110"/>
      <c r="D82" s="164"/>
      <c r="E82" s="90" t="s">
        <v>295</v>
      </c>
      <c r="F82" s="90" t="s">
        <v>296</v>
      </c>
      <c r="G82" s="133" t="s">
        <v>189</v>
      </c>
      <c r="H82" s="134" t="s">
        <v>86</v>
      </c>
      <c r="I82" s="142" t="s">
        <v>297</v>
      </c>
      <c r="J82" s="143" t="s">
        <v>298</v>
      </c>
      <c r="K82" s="134"/>
      <c r="L82" s="114" t="s">
        <v>101</v>
      </c>
      <c r="M82" s="195"/>
      <c r="N82" s="140"/>
      <c r="O82" s="140"/>
      <c r="P82" s="140"/>
      <c r="Q82" s="140"/>
      <c r="R82" s="140"/>
      <c r="S82" s="140"/>
      <c r="T82" s="140"/>
      <c r="U82" s="107"/>
      <c r="V82" s="107"/>
      <c r="W82" s="107"/>
      <c r="X82" s="107"/>
      <c r="Y82" s="107"/>
      <c r="Z82" s="107"/>
      <c r="AA82" s="107"/>
      <c r="AB82" s="107"/>
      <c r="AC82" s="107"/>
    </row>
    <row r="83" ht="12.0" customHeight="1">
      <c r="A83" s="212"/>
      <c r="B83" s="98"/>
      <c r="C83" s="98"/>
      <c r="D83" s="149"/>
      <c r="E83" s="151"/>
      <c r="F83" s="213"/>
      <c r="G83" s="214"/>
      <c r="H83" s="206"/>
      <c r="I83" s="153"/>
      <c r="J83" s="154"/>
      <c r="K83" s="206"/>
      <c r="L83" s="152"/>
      <c r="M83" s="207"/>
      <c r="N83" s="140"/>
      <c r="O83" s="140"/>
      <c r="P83" s="140"/>
      <c r="Q83" s="140"/>
      <c r="R83" s="140"/>
      <c r="S83" s="140"/>
      <c r="T83" s="140"/>
      <c r="U83" s="107"/>
      <c r="V83" s="107"/>
      <c r="W83" s="107"/>
      <c r="X83" s="107"/>
      <c r="Y83" s="107"/>
      <c r="Z83" s="107"/>
      <c r="AA83" s="107"/>
      <c r="AB83" s="107"/>
      <c r="AC83" s="107"/>
    </row>
    <row r="84" ht="30.0" customHeight="1">
      <c r="A84" s="144">
        <v>70.0</v>
      </c>
      <c r="B84" s="215" t="s">
        <v>299</v>
      </c>
      <c r="C84" s="157"/>
      <c r="D84" s="216" t="s">
        <v>299</v>
      </c>
      <c r="E84" s="217" t="s">
        <v>300</v>
      </c>
      <c r="F84" s="218" t="s">
        <v>301</v>
      </c>
      <c r="G84" s="219" t="s">
        <v>145</v>
      </c>
      <c r="H84" s="134" t="s">
        <v>86</v>
      </c>
      <c r="I84" s="142" t="s">
        <v>302</v>
      </c>
      <c r="J84" s="136"/>
      <c r="K84" s="134"/>
      <c r="L84" s="138" t="s">
        <v>81</v>
      </c>
      <c r="M84" s="195"/>
      <c r="N84" s="140"/>
      <c r="O84" s="140"/>
      <c r="P84" s="140"/>
      <c r="Q84" s="140"/>
      <c r="R84" s="140"/>
      <c r="S84" s="140"/>
      <c r="T84" s="140"/>
      <c r="U84" s="107"/>
      <c r="V84" s="107"/>
      <c r="W84" s="107"/>
      <c r="X84" s="107"/>
      <c r="Y84" s="107"/>
      <c r="Z84" s="107"/>
      <c r="AA84" s="107"/>
      <c r="AB84" s="107"/>
      <c r="AC84" s="107"/>
    </row>
    <row r="85" ht="30.0" customHeight="1">
      <c r="A85" s="220">
        <v>71.0</v>
      </c>
      <c r="B85" s="157"/>
      <c r="C85" s="157"/>
      <c r="D85" s="162"/>
      <c r="E85" s="217" t="s">
        <v>303</v>
      </c>
      <c r="F85" s="218" t="s">
        <v>304</v>
      </c>
      <c r="G85" s="219" t="s">
        <v>145</v>
      </c>
      <c r="H85" s="134" t="s">
        <v>86</v>
      </c>
      <c r="I85" s="142" t="s">
        <v>305</v>
      </c>
      <c r="J85" s="136"/>
      <c r="K85" s="134"/>
      <c r="L85" s="138" t="s">
        <v>81</v>
      </c>
      <c r="M85" s="195"/>
      <c r="N85" s="140"/>
      <c r="O85" s="140"/>
      <c r="P85" s="140"/>
      <c r="Q85" s="140"/>
      <c r="R85" s="140"/>
      <c r="S85" s="140"/>
      <c r="T85" s="140"/>
      <c r="U85" s="107"/>
      <c r="V85" s="107"/>
      <c r="W85" s="107"/>
      <c r="X85" s="107"/>
      <c r="Y85" s="107"/>
      <c r="Z85" s="107"/>
      <c r="AA85" s="107"/>
      <c r="AB85" s="107"/>
      <c r="AC85" s="107"/>
    </row>
    <row r="86" ht="30.0" customHeight="1">
      <c r="A86" s="220">
        <v>72.0</v>
      </c>
      <c r="B86" s="157"/>
      <c r="C86" s="157"/>
      <c r="D86" s="162"/>
      <c r="E86" s="133" t="s">
        <v>306</v>
      </c>
      <c r="F86" s="133" t="s">
        <v>307</v>
      </c>
      <c r="G86" s="219" t="s">
        <v>145</v>
      </c>
      <c r="H86" s="134" t="s">
        <v>86</v>
      </c>
      <c r="I86" s="142" t="s">
        <v>308</v>
      </c>
      <c r="J86" s="136"/>
      <c r="K86" s="134"/>
      <c r="L86" s="138" t="s">
        <v>81</v>
      </c>
      <c r="M86" s="195"/>
      <c r="N86" s="140"/>
      <c r="O86" s="140"/>
      <c r="P86" s="140"/>
      <c r="Q86" s="140"/>
      <c r="R86" s="140"/>
      <c r="S86" s="140"/>
      <c r="T86" s="140"/>
      <c r="U86" s="107"/>
      <c r="V86" s="107"/>
      <c r="W86" s="107"/>
      <c r="X86" s="107"/>
      <c r="Y86" s="107"/>
      <c r="Z86" s="107"/>
      <c r="AA86" s="107"/>
      <c r="AB86" s="107"/>
      <c r="AC86" s="107"/>
    </row>
    <row r="87" ht="30.0" customHeight="1">
      <c r="A87" s="220">
        <v>73.0</v>
      </c>
      <c r="B87" s="157"/>
      <c r="C87" s="157"/>
      <c r="D87" s="162"/>
      <c r="E87" s="217" t="s">
        <v>309</v>
      </c>
      <c r="F87" s="217" t="s">
        <v>310</v>
      </c>
      <c r="G87" s="219" t="s">
        <v>145</v>
      </c>
      <c r="H87" s="134" t="s">
        <v>86</v>
      </c>
      <c r="I87" s="142" t="s">
        <v>311</v>
      </c>
      <c r="J87" s="136"/>
      <c r="K87" s="134"/>
      <c r="L87" s="138" t="s">
        <v>81</v>
      </c>
      <c r="M87" s="195"/>
      <c r="N87" s="140"/>
      <c r="O87" s="140"/>
      <c r="P87" s="140"/>
      <c r="Q87" s="140"/>
      <c r="R87" s="140"/>
      <c r="S87" s="140"/>
      <c r="T87" s="140"/>
      <c r="U87" s="107"/>
      <c r="V87" s="107"/>
      <c r="W87" s="107"/>
      <c r="X87" s="107"/>
      <c r="Y87" s="107"/>
      <c r="Z87" s="107"/>
      <c r="AA87" s="107"/>
      <c r="AB87" s="107"/>
      <c r="AC87" s="107"/>
    </row>
    <row r="88" ht="30.0" customHeight="1">
      <c r="A88" s="220">
        <v>74.0</v>
      </c>
      <c r="B88" s="157"/>
      <c r="C88" s="157"/>
      <c r="D88" s="162"/>
      <c r="E88" s="133" t="s">
        <v>312</v>
      </c>
      <c r="F88" s="133" t="s">
        <v>313</v>
      </c>
      <c r="G88" s="219" t="s">
        <v>145</v>
      </c>
      <c r="H88" s="134" t="s">
        <v>86</v>
      </c>
      <c r="I88" s="142" t="s">
        <v>314</v>
      </c>
      <c r="J88" s="136"/>
      <c r="K88" s="134"/>
      <c r="L88" s="138" t="s">
        <v>81</v>
      </c>
      <c r="M88" s="195"/>
      <c r="N88" s="140"/>
      <c r="O88" s="140"/>
      <c r="P88" s="140"/>
      <c r="Q88" s="140"/>
      <c r="R88" s="140"/>
      <c r="S88" s="140"/>
      <c r="T88" s="140"/>
      <c r="U88" s="107"/>
      <c r="V88" s="107"/>
      <c r="W88" s="107"/>
      <c r="X88" s="107"/>
      <c r="Y88" s="107"/>
      <c r="Z88" s="107"/>
      <c r="AA88" s="107"/>
      <c r="AB88" s="107"/>
      <c r="AC88" s="107"/>
    </row>
    <row r="89" ht="30.0" customHeight="1">
      <c r="A89" s="221">
        <v>75.0</v>
      </c>
      <c r="B89" s="157"/>
      <c r="C89" s="157"/>
      <c r="D89" s="164"/>
      <c r="E89" s="217" t="s">
        <v>315</v>
      </c>
      <c r="F89" s="217" t="s">
        <v>316</v>
      </c>
      <c r="G89" s="219" t="s">
        <v>145</v>
      </c>
      <c r="H89" s="134" t="s">
        <v>86</v>
      </c>
      <c r="I89" s="142" t="s">
        <v>317</v>
      </c>
      <c r="J89" s="136"/>
      <c r="K89" s="134"/>
      <c r="L89" s="138" t="s">
        <v>81</v>
      </c>
      <c r="M89" s="195"/>
      <c r="N89" s="140"/>
      <c r="O89" s="140"/>
      <c r="P89" s="140"/>
      <c r="Q89" s="140"/>
      <c r="R89" s="140"/>
      <c r="S89" s="140"/>
      <c r="T89" s="140"/>
      <c r="U89" s="107"/>
      <c r="V89" s="107"/>
      <c r="W89" s="107"/>
      <c r="X89" s="107"/>
      <c r="Y89" s="107"/>
      <c r="Z89" s="107"/>
      <c r="AA89" s="107"/>
      <c r="AB89" s="107"/>
      <c r="AC89" s="107"/>
    </row>
    <row r="90" ht="15.0" customHeight="1">
      <c r="A90" s="97"/>
      <c r="B90" s="98"/>
      <c r="C90" s="98"/>
      <c r="D90" s="149"/>
      <c r="E90" s="151"/>
      <c r="F90" s="151"/>
      <c r="G90" s="151"/>
      <c r="H90" s="206"/>
      <c r="I90" s="153"/>
      <c r="J90" s="154"/>
      <c r="K90" s="206"/>
      <c r="L90" s="152"/>
      <c r="M90" s="207"/>
      <c r="N90" s="140"/>
      <c r="O90" s="140"/>
      <c r="P90" s="140"/>
      <c r="Q90" s="140"/>
      <c r="R90" s="140"/>
      <c r="S90" s="140"/>
      <c r="T90" s="140"/>
      <c r="U90" s="107"/>
      <c r="V90" s="107"/>
      <c r="W90" s="107"/>
      <c r="X90" s="107"/>
      <c r="Y90" s="107"/>
      <c r="Z90" s="107"/>
      <c r="AA90" s="107"/>
      <c r="AB90" s="107"/>
      <c r="AC90" s="107"/>
    </row>
    <row r="91" ht="27.75" customHeight="1">
      <c r="A91" s="144">
        <v>76.0</v>
      </c>
      <c r="B91" s="110" t="s">
        <v>318</v>
      </c>
      <c r="C91" s="110"/>
      <c r="D91" s="222" t="s">
        <v>319</v>
      </c>
      <c r="E91" s="175" t="s">
        <v>320</v>
      </c>
      <c r="F91" s="142" t="s">
        <v>321</v>
      </c>
      <c r="G91" s="133" t="s">
        <v>322</v>
      </c>
      <c r="H91" s="190" t="s">
        <v>86</v>
      </c>
      <c r="I91" s="142" t="s">
        <v>323</v>
      </c>
      <c r="J91" s="136"/>
      <c r="K91" s="134"/>
      <c r="L91" s="223" t="s">
        <v>81</v>
      </c>
      <c r="M91" s="224"/>
      <c r="N91" s="139"/>
      <c r="O91" s="139"/>
      <c r="P91" s="139"/>
      <c r="Q91" s="139"/>
      <c r="R91" s="139"/>
      <c r="S91" s="139"/>
      <c r="T91" s="139"/>
      <c r="U91" s="225"/>
      <c r="V91" s="225"/>
      <c r="W91" s="225"/>
      <c r="X91" s="225"/>
      <c r="Y91" s="225"/>
      <c r="Z91" s="225"/>
      <c r="AA91" s="225"/>
      <c r="AB91" s="225"/>
      <c r="AC91" s="225"/>
    </row>
    <row r="92" ht="30.0" customHeight="1">
      <c r="A92" s="144">
        <v>77.0</v>
      </c>
      <c r="B92" s="110"/>
      <c r="C92" s="110"/>
      <c r="D92" s="117"/>
      <c r="E92" s="133" t="s">
        <v>324</v>
      </c>
      <c r="F92" s="133" t="s">
        <v>325</v>
      </c>
      <c r="G92" s="133" t="s">
        <v>322</v>
      </c>
      <c r="H92" s="134" t="s">
        <v>86</v>
      </c>
      <c r="I92" s="142" t="s">
        <v>326</v>
      </c>
      <c r="J92" s="136"/>
      <c r="K92" s="134"/>
      <c r="L92" s="223" t="s">
        <v>81</v>
      </c>
      <c r="M92" s="141"/>
      <c r="N92" s="139"/>
      <c r="O92" s="139"/>
      <c r="P92" s="139"/>
      <c r="Q92" s="139"/>
      <c r="R92" s="139"/>
      <c r="S92" s="139"/>
      <c r="T92" s="139"/>
      <c r="U92" s="225"/>
      <c r="V92" s="225"/>
      <c r="W92" s="225"/>
      <c r="X92" s="225"/>
      <c r="Y92" s="225"/>
      <c r="Z92" s="225"/>
      <c r="AA92" s="225"/>
      <c r="AB92" s="225"/>
      <c r="AC92" s="225"/>
    </row>
    <row r="93" ht="30.0" customHeight="1">
      <c r="A93" s="144">
        <v>78.0</v>
      </c>
      <c r="B93" s="110"/>
      <c r="C93" s="110"/>
      <c r="D93" s="117"/>
      <c r="E93" s="133" t="s">
        <v>327</v>
      </c>
      <c r="F93" s="133" t="s">
        <v>328</v>
      </c>
      <c r="G93" s="133" t="s">
        <v>189</v>
      </c>
      <c r="H93" s="134" t="s">
        <v>86</v>
      </c>
      <c r="I93" s="142" t="s">
        <v>329</v>
      </c>
      <c r="J93" s="143" t="s">
        <v>330</v>
      </c>
      <c r="K93" s="134"/>
      <c r="L93" s="223" t="s">
        <v>101</v>
      </c>
      <c r="M93" s="141"/>
      <c r="N93" s="139"/>
      <c r="O93" s="139"/>
      <c r="P93" s="139"/>
      <c r="Q93" s="139"/>
      <c r="R93" s="139"/>
      <c r="S93" s="139"/>
      <c r="T93" s="139"/>
      <c r="U93" s="225"/>
      <c r="V93" s="225"/>
      <c r="W93" s="225"/>
      <c r="X93" s="225"/>
      <c r="Y93" s="225"/>
      <c r="Z93" s="225"/>
      <c r="AA93" s="225"/>
      <c r="AB93" s="225"/>
      <c r="AC93" s="225"/>
    </row>
    <row r="94" ht="30.0" customHeight="1">
      <c r="A94" s="144">
        <v>79.0</v>
      </c>
      <c r="B94" s="110"/>
      <c r="C94" s="110"/>
      <c r="D94" s="117"/>
      <c r="E94" s="133" t="s">
        <v>331</v>
      </c>
      <c r="F94" s="133" t="s">
        <v>332</v>
      </c>
      <c r="G94" s="133" t="s">
        <v>189</v>
      </c>
      <c r="H94" s="134" t="s">
        <v>86</v>
      </c>
      <c r="I94" s="142" t="s">
        <v>333</v>
      </c>
      <c r="J94" s="143" t="s">
        <v>334</v>
      </c>
      <c r="K94" s="134"/>
      <c r="L94" s="223" t="s">
        <v>101</v>
      </c>
      <c r="M94" s="141"/>
      <c r="N94" s="139"/>
      <c r="O94" s="139"/>
      <c r="P94" s="139"/>
      <c r="Q94" s="139"/>
      <c r="R94" s="139"/>
      <c r="S94" s="139"/>
      <c r="T94" s="139"/>
      <c r="U94" s="225"/>
      <c r="V94" s="225"/>
      <c r="W94" s="225"/>
      <c r="X94" s="225"/>
      <c r="Y94" s="225"/>
      <c r="Z94" s="225"/>
      <c r="AA94" s="225"/>
      <c r="AB94" s="225"/>
      <c r="AC94" s="225"/>
    </row>
    <row r="95" ht="30.0" customHeight="1">
      <c r="A95" s="226">
        <v>80.0</v>
      </c>
      <c r="B95" s="110"/>
      <c r="C95" s="110"/>
      <c r="D95" s="117"/>
      <c r="E95" s="133" t="s">
        <v>335</v>
      </c>
      <c r="F95" s="133" t="s">
        <v>336</v>
      </c>
      <c r="G95" s="133" t="s">
        <v>145</v>
      </c>
      <c r="H95" s="134" t="s">
        <v>86</v>
      </c>
      <c r="I95" s="142" t="s">
        <v>337</v>
      </c>
      <c r="J95" s="136"/>
      <c r="K95" s="134"/>
      <c r="L95" s="223" t="s">
        <v>81</v>
      </c>
      <c r="M95" s="141"/>
      <c r="N95" s="139"/>
      <c r="O95" s="139"/>
      <c r="P95" s="139"/>
      <c r="Q95" s="139"/>
      <c r="R95" s="139"/>
      <c r="S95" s="139"/>
      <c r="T95" s="139"/>
      <c r="U95" s="225"/>
      <c r="V95" s="225"/>
      <c r="W95" s="225"/>
      <c r="X95" s="225"/>
      <c r="Y95" s="225"/>
      <c r="Z95" s="225"/>
      <c r="AA95" s="225"/>
      <c r="AB95" s="225"/>
      <c r="AC95" s="225"/>
    </row>
    <row r="96" ht="30.75" customHeight="1">
      <c r="A96" s="226">
        <v>81.0</v>
      </c>
      <c r="B96" s="110"/>
      <c r="C96" s="110"/>
      <c r="D96" s="117"/>
      <c r="E96" s="133" t="s">
        <v>338</v>
      </c>
      <c r="F96" s="133" t="s">
        <v>339</v>
      </c>
      <c r="G96" s="133" t="s">
        <v>189</v>
      </c>
      <c r="H96" s="134" t="s">
        <v>86</v>
      </c>
      <c r="I96" s="142" t="s">
        <v>333</v>
      </c>
      <c r="J96" s="143" t="s">
        <v>340</v>
      </c>
      <c r="K96" s="134"/>
      <c r="L96" s="227" t="s">
        <v>101</v>
      </c>
      <c r="M96" s="141"/>
      <c r="N96" s="139"/>
      <c r="O96" s="139"/>
      <c r="P96" s="139"/>
      <c r="Q96" s="139"/>
      <c r="R96" s="139"/>
      <c r="S96" s="139"/>
      <c r="T96" s="139"/>
      <c r="U96" s="225"/>
      <c r="V96" s="225"/>
      <c r="W96" s="225"/>
      <c r="X96" s="225"/>
      <c r="Y96" s="225"/>
      <c r="Z96" s="225"/>
      <c r="AA96" s="225"/>
      <c r="AB96" s="225"/>
      <c r="AC96" s="225"/>
    </row>
    <row r="97" ht="30.75" customHeight="1">
      <c r="A97" s="226">
        <v>82.0</v>
      </c>
      <c r="B97" s="110"/>
      <c r="C97" s="110"/>
      <c r="D97" s="228"/>
      <c r="E97" s="133" t="s">
        <v>341</v>
      </c>
      <c r="F97" s="133" t="s">
        <v>342</v>
      </c>
      <c r="G97" s="133" t="s">
        <v>189</v>
      </c>
      <c r="H97" s="134" t="s">
        <v>86</v>
      </c>
      <c r="I97" s="142" t="s">
        <v>343</v>
      </c>
      <c r="J97" s="143" t="s">
        <v>344</v>
      </c>
      <c r="K97" s="134"/>
      <c r="L97" s="227" t="s">
        <v>101</v>
      </c>
      <c r="M97" s="141"/>
      <c r="N97" s="139"/>
      <c r="O97" s="139"/>
      <c r="P97" s="139"/>
      <c r="Q97" s="139"/>
      <c r="R97" s="139"/>
      <c r="S97" s="139"/>
      <c r="T97" s="139"/>
      <c r="U97" s="225"/>
      <c r="V97" s="225"/>
      <c r="W97" s="225"/>
      <c r="X97" s="225"/>
      <c r="Y97" s="225"/>
      <c r="Z97" s="225"/>
      <c r="AA97" s="225"/>
      <c r="AB97" s="225"/>
      <c r="AC97" s="225"/>
    </row>
    <row r="98" ht="30.0" customHeight="1">
      <c r="A98" s="229"/>
      <c r="B98" s="230"/>
      <c r="C98" s="230"/>
      <c r="D98" s="231"/>
      <c r="E98" s="232"/>
      <c r="F98" s="233"/>
      <c r="G98" s="234"/>
      <c r="H98" s="234"/>
      <c r="I98" s="234"/>
      <c r="J98" s="234"/>
      <c r="K98" s="234"/>
      <c r="L98" s="234"/>
      <c r="M98" s="234"/>
      <c r="N98" s="107"/>
      <c r="O98" s="107"/>
      <c r="P98" s="235"/>
      <c r="Q98" s="235"/>
      <c r="R98" s="235"/>
      <c r="S98" s="235"/>
      <c r="T98" s="235"/>
      <c r="U98" s="235"/>
      <c r="V98" s="235"/>
      <c r="W98" s="235"/>
      <c r="X98" s="235"/>
      <c r="Y98" s="235"/>
      <c r="Z98" s="235"/>
      <c r="AA98" s="235"/>
      <c r="AB98" s="235"/>
      <c r="AC98" s="235"/>
    </row>
    <row r="99" ht="28.5" customHeight="1">
      <c r="A99" s="140"/>
      <c r="B99" s="140"/>
      <c r="C99" s="140"/>
      <c r="D99" s="236"/>
      <c r="E99" s="139"/>
      <c r="F99" s="140"/>
      <c r="G99" s="237"/>
      <c r="H99" s="107"/>
      <c r="I99" s="107"/>
      <c r="J99" s="107"/>
      <c r="K99" s="107"/>
      <c r="L99" s="238"/>
      <c r="M99" s="107"/>
      <c r="N99" s="107"/>
      <c r="O99" s="107"/>
      <c r="P99" s="235"/>
      <c r="Q99" s="235"/>
      <c r="R99" s="235"/>
      <c r="S99" s="235"/>
      <c r="T99" s="235"/>
      <c r="U99" s="235"/>
      <c r="V99" s="235"/>
      <c r="W99" s="235"/>
      <c r="X99" s="235"/>
      <c r="Y99" s="235"/>
      <c r="Z99" s="235"/>
      <c r="AA99" s="235"/>
      <c r="AB99" s="235"/>
      <c r="AC99" s="235"/>
    </row>
    <row r="100" ht="26.25" customHeight="1">
      <c r="A100" s="140"/>
      <c r="B100" s="140"/>
      <c r="C100" s="140"/>
      <c r="D100" s="162"/>
      <c r="E100" s="139"/>
      <c r="F100" s="140"/>
      <c r="G100" s="237"/>
      <c r="H100" s="107"/>
      <c r="I100" s="107"/>
      <c r="J100" s="107"/>
      <c r="K100" s="107"/>
      <c r="L100" s="238"/>
      <c r="M100" s="107"/>
      <c r="N100" s="107"/>
      <c r="O100" s="107"/>
      <c r="P100" s="235"/>
      <c r="Q100" s="235"/>
      <c r="R100" s="235"/>
      <c r="S100" s="235"/>
      <c r="T100" s="235"/>
      <c r="U100" s="235"/>
      <c r="V100" s="235"/>
      <c r="W100" s="235"/>
      <c r="X100" s="235"/>
      <c r="Y100" s="235"/>
      <c r="Z100" s="235"/>
      <c r="AA100" s="235"/>
      <c r="AB100" s="235"/>
      <c r="AC100" s="235"/>
    </row>
    <row r="101" ht="30.0" customHeight="1">
      <c r="A101" s="239"/>
      <c r="B101" s="240"/>
      <c r="C101" s="240"/>
      <c r="D101" s="162"/>
      <c r="E101" s="139"/>
      <c r="F101" s="139"/>
      <c r="G101" s="237"/>
      <c r="H101" s="241"/>
      <c r="I101" s="242"/>
      <c r="J101" s="243"/>
      <c r="K101" s="139"/>
      <c r="L101" s="175"/>
      <c r="M101" s="141"/>
      <c r="N101" s="139"/>
      <c r="O101" s="139"/>
      <c r="P101" s="139"/>
      <c r="Q101" s="139"/>
      <c r="R101" s="139"/>
      <c r="S101" s="139"/>
      <c r="T101" s="139"/>
      <c r="U101" s="225"/>
      <c r="V101" s="225"/>
      <c r="W101" s="225"/>
      <c r="X101" s="225"/>
      <c r="Y101" s="225"/>
      <c r="Z101" s="225"/>
      <c r="AA101" s="225"/>
      <c r="AB101" s="225"/>
      <c r="AC101" s="225"/>
    </row>
    <row r="102" ht="30.0" customHeight="1">
      <c r="A102" s="239"/>
      <c r="B102" s="240"/>
      <c r="C102" s="240"/>
      <c r="D102" s="162"/>
      <c r="E102" s="139"/>
      <c r="F102" s="139"/>
      <c r="G102" s="237"/>
      <c r="H102" s="241"/>
      <c r="I102" s="242"/>
      <c r="J102" s="243"/>
      <c r="K102" s="139"/>
      <c r="L102" s="175"/>
      <c r="M102" s="141"/>
      <c r="N102" s="139"/>
      <c r="O102" s="139"/>
      <c r="P102" s="139"/>
      <c r="Q102" s="139"/>
      <c r="R102" s="139"/>
      <c r="S102" s="139"/>
      <c r="T102" s="139"/>
      <c r="U102" s="225"/>
      <c r="V102" s="225"/>
      <c r="W102" s="225"/>
      <c r="X102" s="225"/>
      <c r="Y102" s="225"/>
      <c r="Z102" s="225"/>
      <c r="AA102" s="225"/>
      <c r="AB102" s="225"/>
      <c r="AC102" s="225"/>
    </row>
    <row r="103" ht="30.0" customHeight="1">
      <c r="A103" s="239"/>
      <c r="B103" s="240"/>
      <c r="C103" s="240"/>
      <c r="D103" s="162"/>
      <c r="E103" s="139"/>
      <c r="F103" s="139"/>
      <c r="G103" s="237"/>
      <c r="H103" s="241"/>
      <c r="I103" s="242"/>
      <c r="J103" s="243"/>
      <c r="K103" s="139"/>
      <c r="L103" s="175"/>
      <c r="M103" s="141"/>
      <c r="N103" s="139"/>
      <c r="O103" s="139"/>
      <c r="P103" s="139"/>
      <c r="Q103" s="139"/>
      <c r="R103" s="139"/>
      <c r="S103" s="139"/>
      <c r="T103" s="139"/>
      <c r="U103" s="225"/>
      <c r="V103" s="225"/>
      <c r="W103" s="225"/>
      <c r="X103" s="225"/>
      <c r="Y103" s="225"/>
      <c r="Z103" s="225"/>
      <c r="AA103" s="225"/>
      <c r="AB103" s="225"/>
      <c r="AC103" s="225"/>
    </row>
    <row r="104" ht="30.0" customHeight="1">
      <c r="A104" s="239"/>
      <c r="B104" s="240"/>
      <c r="C104" s="240"/>
      <c r="D104" s="164"/>
      <c r="E104" s="139"/>
      <c r="F104" s="139"/>
      <c r="G104" s="237"/>
      <c r="H104" s="241"/>
      <c r="I104" s="242"/>
      <c r="J104" s="243"/>
      <c r="K104" s="139"/>
      <c r="L104" s="175"/>
      <c r="M104" s="141"/>
      <c r="N104" s="139"/>
      <c r="O104" s="139"/>
      <c r="P104" s="139"/>
      <c r="Q104" s="139"/>
      <c r="R104" s="139"/>
      <c r="S104" s="139"/>
      <c r="T104" s="139"/>
      <c r="U104" s="225"/>
      <c r="V104" s="225"/>
      <c r="W104" s="225"/>
      <c r="X104" s="225"/>
      <c r="Y104" s="225"/>
      <c r="Z104" s="225"/>
      <c r="AA104" s="225"/>
      <c r="AB104" s="225"/>
      <c r="AC104" s="225"/>
    </row>
    <row r="105" ht="30.0" customHeight="1">
      <c r="A105" s="244"/>
      <c r="B105" s="245"/>
      <c r="C105" s="245"/>
      <c r="D105" s="246"/>
      <c r="E105" s="232"/>
      <c r="F105" s="232"/>
      <c r="G105" s="232"/>
      <c r="H105" s="247"/>
      <c r="I105" s="248"/>
      <c r="J105" s="249"/>
      <c r="K105" s="232"/>
      <c r="L105" s="156"/>
      <c r="M105" s="156"/>
      <c r="N105" s="139"/>
      <c r="O105" s="139"/>
      <c r="P105" s="139"/>
      <c r="Q105" s="139"/>
      <c r="R105" s="139"/>
      <c r="S105" s="139"/>
      <c r="T105" s="139"/>
      <c r="U105" s="225"/>
      <c r="V105" s="225"/>
      <c r="W105" s="225"/>
      <c r="X105" s="225"/>
      <c r="Y105" s="225"/>
      <c r="Z105" s="225"/>
      <c r="AA105" s="225"/>
      <c r="AB105" s="225"/>
      <c r="AC105" s="225"/>
    </row>
    <row r="106" ht="30.0" customHeight="1">
      <c r="A106" s="239"/>
      <c r="B106" s="240"/>
      <c r="C106" s="240"/>
      <c r="D106" s="250"/>
      <c r="E106" s="139"/>
      <c r="F106" s="139"/>
      <c r="G106" s="139"/>
      <c r="H106" s="241"/>
      <c r="I106" s="242"/>
      <c r="J106" s="243"/>
      <c r="K106" s="139"/>
      <c r="L106" s="175"/>
      <c r="M106" s="141"/>
      <c r="N106" s="139"/>
      <c r="O106" s="139"/>
      <c r="P106" s="139"/>
      <c r="Q106" s="139"/>
      <c r="R106" s="139"/>
      <c r="S106" s="139"/>
      <c r="T106" s="139"/>
      <c r="U106" s="225"/>
      <c r="V106" s="225"/>
      <c r="W106" s="225"/>
      <c r="X106" s="225"/>
      <c r="Y106" s="225"/>
      <c r="Z106" s="225"/>
      <c r="AA106" s="225"/>
      <c r="AB106" s="225"/>
      <c r="AC106" s="225"/>
    </row>
    <row r="107" ht="30.0" customHeight="1">
      <c r="A107" s="239"/>
      <c r="B107" s="240"/>
      <c r="C107" s="240"/>
      <c r="D107" s="117"/>
      <c r="E107" s="139"/>
      <c r="F107" s="139"/>
      <c r="G107" s="139"/>
      <c r="H107" s="241"/>
      <c r="I107" s="242"/>
      <c r="J107" s="243"/>
      <c r="K107" s="139"/>
      <c r="L107" s="175"/>
      <c r="M107" s="141"/>
      <c r="N107" s="139"/>
      <c r="O107" s="139"/>
      <c r="P107" s="139"/>
      <c r="Q107" s="139"/>
      <c r="R107" s="139"/>
      <c r="S107" s="139"/>
      <c r="T107" s="139"/>
      <c r="U107" s="225"/>
      <c r="V107" s="225"/>
      <c r="W107" s="225"/>
      <c r="X107" s="225"/>
      <c r="Y107" s="225"/>
      <c r="Z107" s="225"/>
      <c r="AA107" s="225"/>
      <c r="AB107" s="225"/>
      <c r="AC107" s="225"/>
    </row>
    <row r="108" ht="30.0" customHeight="1">
      <c r="A108" s="239"/>
      <c r="B108" s="240"/>
      <c r="C108" s="240"/>
      <c r="D108" s="117"/>
      <c r="E108" s="139"/>
      <c r="F108" s="139"/>
      <c r="G108" s="139"/>
      <c r="H108" s="241"/>
      <c r="I108" s="242"/>
      <c r="J108" s="243"/>
      <c r="K108" s="139"/>
      <c r="L108" s="175"/>
      <c r="M108" s="141"/>
      <c r="N108" s="139"/>
      <c r="O108" s="139"/>
      <c r="P108" s="139"/>
      <c r="Q108" s="139"/>
      <c r="R108" s="139"/>
      <c r="S108" s="139"/>
      <c r="T108" s="139"/>
      <c r="U108" s="225"/>
      <c r="V108" s="225"/>
      <c r="W108" s="225"/>
      <c r="X108" s="225"/>
      <c r="Y108" s="225"/>
      <c r="Z108" s="225"/>
      <c r="AA108" s="225"/>
      <c r="AB108" s="225"/>
      <c r="AC108" s="225"/>
    </row>
    <row r="109" ht="30.0" customHeight="1">
      <c r="A109" s="239"/>
      <c r="B109" s="240"/>
      <c r="C109" s="240"/>
      <c r="D109" s="117"/>
      <c r="E109" s="139"/>
      <c r="F109" s="139"/>
      <c r="G109" s="139"/>
      <c r="H109" s="241"/>
      <c r="I109" s="242"/>
      <c r="J109" s="243"/>
      <c r="K109" s="139"/>
      <c r="L109" s="175"/>
      <c r="M109" s="141"/>
      <c r="N109" s="139"/>
      <c r="O109" s="139"/>
      <c r="P109" s="139"/>
      <c r="Q109" s="139"/>
      <c r="R109" s="139"/>
      <c r="S109" s="139"/>
      <c r="T109" s="139"/>
      <c r="U109" s="225"/>
      <c r="V109" s="225"/>
      <c r="W109" s="225"/>
      <c r="X109" s="225"/>
      <c r="Y109" s="225"/>
      <c r="Z109" s="225"/>
      <c r="AA109" s="225"/>
      <c r="AB109" s="225"/>
      <c r="AC109" s="225"/>
    </row>
    <row r="110" ht="30.0" customHeight="1">
      <c r="A110" s="239"/>
      <c r="B110" s="240"/>
      <c r="C110" s="240"/>
      <c r="D110" s="228"/>
      <c r="E110" s="139"/>
      <c r="F110" s="139"/>
      <c r="G110" s="139"/>
      <c r="H110" s="241"/>
      <c r="I110" s="242"/>
      <c r="J110" s="243"/>
      <c r="K110" s="139"/>
      <c r="L110" s="175"/>
      <c r="M110" s="141"/>
      <c r="N110" s="139"/>
      <c r="O110" s="139"/>
      <c r="P110" s="139"/>
      <c r="Q110" s="139"/>
      <c r="R110" s="139"/>
      <c r="S110" s="139"/>
      <c r="T110" s="139"/>
      <c r="U110" s="225"/>
      <c r="V110" s="225"/>
      <c r="W110" s="225"/>
      <c r="X110" s="225"/>
      <c r="Y110" s="225"/>
      <c r="Z110" s="225"/>
      <c r="AA110" s="225"/>
      <c r="AB110" s="225"/>
      <c r="AC110" s="225"/>
    </row>
    <row r="111" ht="30.0" customHeight="1">
      <c r="A111" s="239"/>
      <c r="B111" s="240"/>
      <c r="C111" s="240"/>
      <c r="D111" s="251"/>
      <c r="E111" s="139"/>
      <c r="F111" s="139"/>
      <c r="G111" s="139"/>
      <c r="H111" s="241"/>
      <c r="I111" s="242"/>
      <c r="J111" s="243"/>
      <c r="K111" s="139"/>
      <c r="L111" s="175"/>
      <c r="M111" s="141"/>
      <c r="N111" s="139"/>
      <c r="O111" s="139"/>
      <c r="P111" s="139"/>
      <c r="Q111" s="139"/>
      <c r="R111" s="139"/>
      <c r="S111" s="139"/>
      <c r="T111" s="139"/>
      <c r="U111" s="225"/>
      <c r="V111" s="225"/>
      <c r="W111" s="225"/>
      <c r="X111" s="225"/>
      <c r="Y111" s="225"/>
      <c r="Z111" s="225"/>
      <c r="AA111" s="225"/>
      <c r="AB111" s="225"/>
      <c r="AC111" s="225"/>
    </row>
    <row r="112" ht="30.0" customHeight="1">
      <c r="A112" s="239"/>
      <c r="B112" s="240"/>
      <c r="C112" s="240"/>
      <c r="D112" s="251"/>
      <c r="E112" s="139"/>
      <c r="F112" s="139"/>
      <c r="G112" s="139"/>
      <c r="H112" s="241"/>
      <c r="I112" s="242"/>
      <c r="J112" s="243"/>
      <c r="K112" s="139"/>
      <c r="L112" s="175"/>
      <c r="M112" s="141"/>
      <c r="N112" s="139"/>
      <c r="O112" s="139"/>
      <c r="P112" s="139"/>
      <c r="Q112" s="139"/>
      <c r="R112" s="139"/>
      <c r="S112" s="139"/>
      <c r="T112" s="139"/>
      <c r="U112" s="225"/>
      <c r="V112" s="225"/>
      <c r="W112" s="225"/>
      <c r="X112" s="225"/>
      <c r="Y112" s="225"/>
      <c r="Z112" s="225"/>
      <c r="AA112" s="225"/>
      <c r="AB112" s="225"/>
      <c r="AC112" s="225"/>
    </row>
    <row r="113" ht="30.0" customHeight="1">
      <c r="A113" s="239"/>
      <c r="B113" s="240"/>
      <c r="C113" s="240"/>
      <c r="D113" s="251"/>
      <c r="E113" s="139"/>
      <c r="F113" s="139"/>
      <c r="G113" s="139"/>
      <c r="H113" s="241"/>
      <c r="I113" s="242"/>
      <c r="J113" s="243"/>
      <c r="K113" s="139"/>
      <c r="L113" s="175"/>
      <c r="M113" s="141"/>
      <c r="N113" s="139"/>
      <c r="O113" s="139"/>
      <c r="P113" s="139"/>
      <c r="Q113" s="139"/>
      <c r="R113" s="139"/>
      <c r="S113" s="139"/>
      <c r="T113" s="139"/>
      <c r="U113" s="225"/>
      <c r="V113" s="225"/>
      <c r="W113" s="225"/>
      <c r="X113" s="225"/>
      <c r="Y113" s="225"/>
      <c r="Z113" s="225"/>
      <c r="AA113" s="225"/>
      <c r="AB113" s="225"/>
      <c r="AC113" s="225"/>
    </row>
    <row r="114" ht="30.0" customHeight="1">
      <c r="A114" s="252"/>
      <c r="B114" s="253"/>
      <c r="C114" s="253"/>
      <c r="D114" s="251"/>
      <c r="E114" s="139"/>
      <c r="F114" s="139"/>
      <c r="G114" s="139"/>
      <c r="H114" s="241"/>
      <c r="I114" s="242"/>
      <c r="J114" s="243"/>
      <c r="K114" s="139"/>
      <c r="L114" s="141"/>
      <c r="M114" s="141"/>
      <c r="N114" s="139"/>
      <c r="O114" s="139"/>
      <c r="P114" s="139"/>
      <c r="Q114" s="139"/>
      <c r="R114" s="139"/>
      <c r="S114" s="139"/>
      <c r="T114" s="139"/>
      <c r="U114" s="225"/>
      <c r="V114" s="225"/>
      <c r="W114" s="225"/>
      <c r="X114" s="225"/>
      <c r="Y114" s="225"/>
      <c r="Z114" s="225"/>
      <c r="AA114" s="225"/>
      <c r="AB114" s="225"/>
      <c r="AC114" s="225"/>
    </row>
    <row r="115" ht="15.75" customHeight="1">
      <c r="A115" s="252"/>
      <c r="B115" s="253"/>
      <c r="C115" s="253"/>
      <c r="D115" s="251"/>
      <c r="E115" s="139"/>
      <c r="F115" s="139"/>
      <c r="G115" s="139"/>
      <c r="H115" s="241"/>
      <c r="I115" s="242"/>
      <c r="J115" s="243"/>
      <c r="K115" s="139"/>
      <c r="L115" s="141"/>
      <c r="M115" s="141"/>
      <c r="N115" s="139"/>
      <c r="O115" s="139"/>
      <c r="P115" s="139"/>
      <c r="Q115" s="139"/>
      <c r="R115" s="139"/>
      <c r="S115" s="139"/>
      <c r="T115" s="139"/>
      <c r="U115" s="225"/>
      <c r="V115" s="225"/>
      <c r="W115" s="225"/>
      <c r="X115" s="225"/>
      <c r="Y115" s="225"/>
      <c r="Z115" s="225"/>
      <c r="AA115" s="225"/>
      <c r="AB115" s="225"/>
      <c r="AC115" s="225"/>
    </row>
    <row r="116" ht="15.75" customHeight="1">
      <c r="A116" s="252"/>
      <c r="B116" s="253"/>
      <c r="C116" s="253"/>
      <c r="D116" s="251"/>
      <c r="E116" s="139"/>
      <c r="F116" s="139"/>
      <c r="G116" s="139"/>
      <c r="H116" s="241"/>
      <c r="I116" s="242"/>
      <c r="J116" s="243"/>
      <c r="K116" s="139"/>
      <c r="L116" s="141"/>
      <c r="M116" s="141"/>
      <c r="N116" s="139"/>
      <c r="O116" s="139"/>
      <c r="P116" s="139"/>
      <c r="Q116" s="139"/>
      <c r="R116" s="139"/>
      <c r="S116" s="139"/>
      <c r="T116" s="139"/>
      <c r="U116" s="225"/>
      <c r="V116" s="225"/>
      <c r="W116" s="225"/>
      <c r="X116" s="225"/>
      <c r="Y116" s="225"/>
      <c r="Z116" s="225"/>
      <c r="AA116" s="225"/>
      <c r="AB116" s="225"/>
      <c r="AC116" s="225"/>
    </row>
    <row r="117" ht="15.75" customHeight="1">
      <c r="A117" s="252"/>
      <c r="B117" s="253"/>
      <c r="C117" s="253"/>
      <c r="D117" s="251"/>
      <c r="E117" s="139"/>
      <c r="F117" s="139"/>
      <c r="G117" s="139"/>
      <c r="H117" s="241"/>
      <c r="I117" s="242"/>
      <c r="J117" s="243"/>
      <c r="K117" s="139"/>
      <c r="L117" s="141"/>
      <c r="M117" s="141"/>
      <c r="N117" s="139"/>
      <c r="O117" s="139"/>
      <c r="P117" s="139"/>
      <c r="Q117" s="139"/>
      <c r="R117" s="139"/>
      <c r="S117" s="139"/>
      <c r="T117" s="139"/>
      <c r="U117" s="225"/>
      <c r="V117" s="225"/>
      <c r="W117" s="225"/>
      <c r="X117" s="225"/>
      <c r="Y117" s="225"/>
      <c r="Z117" s="225"/>
      <c r="AA117" s="225"/>
      <c r="AB117" s="225"/>
      <c r="AC117" s="225"/>
    </row>
    <row r="118" ht="15.75" customHeight="1">
      <c r="A118" s="252"/>
      <c r="B118" s="253"/>
      <c r="C118" s="253"/>
      <c r="D118" s="251"/>
      <c r="E118" s="139"/>
      <c r="F118" s="139"/>
      <c r="G118" s="139"/>
      <c r="H118" s="241"/>
      <c r="I118" s="242"/>
      <c r="J118" s="243"/>
      <c r="K118" s="139"/>
      <c r="L118" s="141"/>
      <c r="M118" s="141"/>
      <c r="N118" s="139"/>
      <c r="O118" s="139"/>
      <c r="P118" s="139"/>
      <c r="Q118" s="139"/>
      <c r="R118" s="139"/>
      <c r="S118" s="139"/>
      <c r="T118" s="139"/>
      <c r="U118" s="225"/>
      <c r="V118" s="225"/>
      <c r="W118" s="225"/>
      <c r="X118" s="225"/>
      <c r="Y118" s="225"/>
      <c r="Z118" s="225"/>
      <c r="AA118" s="225"/>
      <c r="AB118" s="225"/>
      <c r="AC118" s="225"/>
    </row>
    <row r="119" ht="15.75" customHeight="1">
      <c r="A119" s="252"/>
      <c r="B119" s="253"/>
      <c r="C119" s="253"/>
      <c r="D119" s="254"/>
      <c r="E119" s="139"/>
      <c r="F119" s="140"/>
      <c r="G119" s="107"/>
      <c r="H119" s="107"/>
      <c r="I119" s="107"/>
      <c r="J119" s="107"/>
      <c r="K119" s="107"/>
      <c r="L119" s="107"/>
      <c r="M119" s="107"/>
      <c r="N119" s="107"/>
      <c r="O119" s="107"/>
      <c r="P119" s="235"/>
      <c r="Q119" s="235"/>
      <c r="R119" s="235"/>
      <c r="S119" s="235"/>
      <c r="T119" s="235"/>
      <c r="U119" s="235"/>
      <c r="V119" s="235"/>
      <c r="W119" s="235"/>
      <c r="X119" s="235"/>
      <c r="Y119" s="235"/>
      <c r="Z119" s="235"/>
      <c r="AA119" s="235"/>
      <c r="AB119" s="235"/>
      <c r="AC119" s="235"/>
    </row>
    <row r="120" ht="15.75" customHeight="1">
      <c r="A120" s="140"/>
      <c r="B120" s="140"/>
      <c r="C120" s="140"/>
      <c r="D120" s="254"/>
      <c r="E120" s="139"/>
      <c r="F120" s="140"/>
      <c r="G120" s="107"/>
      <c r="H120" s="107"/>
      <c r="I120" s="107"/>
      <c r="J120" s="107"/>
      <c r="K120" s="107"/>
      <c r="L120" s="107"/>
      <c r="M120" s="107"/>
      <c r="N120" s="107"/>
      <c r="O120" s="107"/>
      <c r="P120" s="235"/>
      <c r="Q120" s="235"/>
      <c r="R120" s="235"/>
      <c r="S120" s="235"/>
      <c r="T120" s="235"/>
      <c r="U120" s="235"/>
      <c r="V120" s="235"/>
      <c r="W120" s="235"/>
      <c r="X120" s="235"/>
      <c r="Y120" s="235"/>
      <c r="Z120" s="235"/>
      <c r="AA120" s="235"/>
      <c r="AB120" s="235"/>
      <c r="AC120" s="235"/>
    </row>
    <row r="121" ht="15.75" customHeight="1">
      <c r="A121" s="140"/>
      <c r="B121" s="140"/>
      <c r="C121" s="140"/>
      <c r="D121" s="254"/>
      <c r="E121" s="139"/>
      <c r="F121" s="140"/>
      <c r="G121" s="107"/>
      <c r="H121" s="107"/>
      <c r="I121" s="107"/>
      <c r="J121" s="107"/>
      <c r="K121" s="107"/>
      <c r="L121" s="107"/>
      <c r="M121" s="107"/>
      <c r="N121" s="107"/>
      <c r="O121" s="107"/>
      <c r="P121" s="235"/>
      <c r="Q121" s="235"/>
      <c r="R121" s="235"/>
      <c r="S121" s="235"/>
      <c r="T121" s="235"/>
      <c r="U121" s="235"/>
      <c r="V121" s="235"/>
      <c r="W121" s="235"/>
      <c r="X121" s="235"/>
      <c r="Y121" s="235"/>
      <c r="Z121" s="235"/>
      <c r="AA121" s="235"/>
      <c r="AB121" s="235"/>
      <c r="AC121" s="235"/>
    </row>
    <row r="122" ht="15.75" customHeight="1">
      <c r="A122" s="140"/>
      <c r="B122" s="140"/>
      <c r="C122" s="140"/>
      <c r="D122" s="254"/>
      <c r="E122" s="139"/>
      <c r="F122" s="140"/>
      <c r="G122" s="107"/>
      <c r="H122" s="107"/>
      <c r="I122" s="107"/>
      <c r="J122" s="107"/>
      <c r="K122" s="107"/>
      <c r="L122" s="107"/>
      <c r="M122" s="107"/>
      <c r="N122" s="107"/>
      <c r="O122" s="107"/>
      <c r="P122" s="235"/>
      <c r="Q122" s="235"/>
      <c r="R122" s="235"/>
      <c r="S122" s="235"/>
      <c r="T122" s="235"/>
      <c r="U122" s="235"/>
      <c r="V122" s="235"/>
      <c r="W122" s="235"/>
      <c r="X122" s="235"/>
      <c r="Y122" s="235"/>
      <c r="Z122" s="235"/>
      <c r="AA122" s="235"/>
      <c r="AB122" s="235"/>
      <c r="AC122" s="235"/>
    </row>
    <row r="123" ht="15.75" customHeight="1">
      <c r="A123" s="140"/>
      <c r="B123" s="140"/>
      <c r="C123" s="140"/>
      <c r="D123" s="254"/>
      <c r="E123" s="139"/>
      <c r="F123" s="140"/>
      <c r="G123" s="107"/>
      <c r="H123" s="107"/>
      <c r="I123" s="107"/>
      <c r="J123" s="107"/>
      <c r="K123" s="107"/>
      <c r="L123" s="107"/>
      <c r="M123" s="107"/>
      <c r="N123" s="107"/>
      <c r="O123" s="107"/>
      <c r="P123" s="235"/>
      <c r="Q123" s="235"/>
      <c r="R123" s="235"/>
      <c r="S123" s="235"/>
      <c r="T123" s="235"/>
      <c r="U123" s="235"/>
      <c r="V123" s="235"/>
      <c r="W123" s="235"/>
      <c r="X123" s="235"/>
      <c r="Y123" s="235"/>
      <c r="Z123" s="235"/>
      <c r="AA123" s="235"/>
      <c r="AB123" s="235"/>
      <c r="AC123" s="235"/>
    </row>
    <row r="124" ht="15.75" customHeight="1">
      <c r="A124" s="140"/>
      <c r="B124" s="140"/>
      <c r="C124" s="140"/>
      <c r="D124" s="254"/>
      <c r="E124" s="139"/>
      <c r="F124" s="140"/>
      <c r="G124" s="107"/>
      <c r="H124" s="107"/>
      <c r="I124" s="107"/>
      <c r="J124" s="107"/>
      <c r="K124" s="107"/>
      <c r="L124" s="107"/>
      <c r="M124" s="107"/>
      <c r="N124" s="107"/>
      <c r="O124" s="107"/>
      <c r="P124" s="235"/>
      <c r="Q124" s="235"/>
      <c r="R124" s="235"/>
      <c r="S124" s="235"/>
      <c r="T124" s="235"/>
      <c r="U124" s="235"/>
      <c r="V124" s="235"/>
      <c r="W124" s="235"/>
      <c r="X124" s="235"/>
      <c r="Y124" s="235"/>
      <c r="Z124" s="235"/>
      <c r="AA124" s="235"/>
      <c r="AB124" s="235"/>
      <c r="AC124" s="235"/>
    </row>
    <row r="125" ht="15.75" customHeight="1">
      <c r="A125" s="140"/>
      <c r="B125" s="140"/>
      <c r="C125" s="140"/>
      <c r="D125" s="254"/>
      <c r="E125" s="139"/>
      <c r="F125" s="140"/>
      <c r="G125" s="107"/>
      <c r="H125" s="107"/>
      <c r="I125" s="107"/>
      <c r="J125" s="107"/>
      <c r="K125" s="107"/>
      <c r="L125" s="107"/>
      <c r="M125" s="107"/>
      <c r="N125" s="107"/>
      <c r="O125" s="107"/>
      <c r="P125" s="235"/>
      <c r="Q125" s="235"/>
      <c r="R125" s="235"/>
      <c r="S125" s="235"/>
      <c r="T125" s="235"/>
      <c r="U125" s="235"/>
      <c r="V125" s="235"/>
      <c r="W125" s="235"/>
      <c r="X125" s="235"/>
      <c r="Y125" s="235"/>
      <c r="Z125" s="235"/>
      <c r="AA125" s="235"/>
      <c r="AB125" s="235"/>
      <c r="AC125" s="235"/>
    </row>
    <row r="126" ht="15.75" customHeight="1">
      <c r="A126" s="140"/>
      <c r="B126" s="140"/>
      <c r="C126" s="140"/>
      <c r="D126" s="254"/>
      <c r="E126" s="139"/>
      <c r="F126" s="140"/>
      <c r="G126" s="107"/>
      <c r="H126" s="107"/>
      <c r="I126" s="107"/>
      <c r="J126" s="107"/>
      <c r="K126" s="107"/>
      <c r="L126" s="107"/>
      <c r="M126" s="107"/>
      <c r="N126" s="107"/>
      <c r="O126" s="107"/>
      <c r="P126" s="235"/>
      <c r="Q126" s="235"/>
      <c r="R126" s="235"/>
      <c r="S126" s="235"/>
      <c r="T126" s="235"/>
      <c r="U126" s="235"/>
      <c r="V126" s="235"/>
      <c r="W126" s="235"/>
      <c r="X126" s="235"/>
      <c r="Y126" s="235"/>
      <c r="Z126" s="235"/>
      <c r="AA126" s="235"/>
      <c r="AB126" s="235"/>
      <c r="AC126" s="235"/>
    </row>
    <row r="127" ht="15.75" customHeight="1">
      <c r="A127" s="255"/>
      <c r="B127" s="256"/>
      <c r="C127" s="257"/>
      <c r="D127" s="258"/>
      <c r="E127" s="259"/>
      <c r="F127" s="141"/>
      <c r="G127" s="141"/>
      <c r="H127" s="260"/>
      <c r="I127" s="141"/>
      <c r="J127" s="243"/>
      <c r="K127" s="141"/>
      <c r="L127" s="195"/>
      <c r="M127" s="195"/>
      <c r="N127" s="140"/>
      <c r="O127" s="140"/>
      <c r="P127" s="140"/>
      <c r="Q127" s="140"/>
      <c r="R127" s="140"/>
      <c r="S127" s="140"/>
      <c r="T127" s="140"/>
      <c r="U127" s="107"/>
      <c r="V127" s="107"/>
      <c r="W127" s="107"/>
      <c r="X127" s="107"/>
      <c r="Y127" s="107"/>
      <c r="Z127" s="107"/>
      <c r="AA127" s="107"/>
      <c r="AB127" s="107"/>
      <c r="AC127" s="107"/>
    </row>
    <row r="128" ht="15.75" customHeight="1">
      <c r="A128" s="255"/>
      <c r="B128" s="256"/>
      <c r="C128" s="257"/>
      <c r="D128" s="261"/>
      <c r="E128" s="262"/>
      <c r="F128" s="139"/>
      <c r="G128" s="139"/>
      <c r="H128" s="241"/>
      <c r="I128" s="139"/>
      <c r="J128" s="243"/>
      <c r="K128" s="263"/>
      <c r="L128" s="195"/>
      <c r="M128" s="195"/>
      <c r="N128" s="140"/>
      <c r="O128" s="140"/>
      <c r="P128" s="140"/>
      <c r="Q128" s="140"/>
      <c r="R128" s="140"/>
      <c r="S128" s="140"/>
      <c r="T128" s="140"/>
      <c r="U128" s="107"/>
      <c r="V128" s="107"/>
      <c r="W128" s="107"/>
      <c r="X128" s="107"/>
      <c r="Y128" s="107"/>
      <c r="Z128" s="107"/>
      <c r="AA128" s="107"/>
      <c r="AB128" s="107"/>
      <c r="AC128" s="107"/>
    </row>
    <row r="129" ht="15.75" customHeight="1">
      <c r="A129" s="255"/>
      <c r="B129" s="256"/>
      <c r="C129" s="257"/>
      <c r="D129" s="228"/>
      <c r="E129" s="262"/>
      <c r="F129" s="139"/>
      <c r="G129" s="139"/>
      <c r="H129" s="241"/>
      <c r="I129" s="139"/>
      <c r="J129" s="243"/>
      <c r="K129" s="139"/>
      <c r="L129" s="195"/>
      <c r="M129" s="195"/>
      <c r="N129" s="140"/>
      <c r="O129" s="140"/>
      <c r="P129" s="140"/>
      <c r="Q129" s="140"/>
      <c r="R129" s="140"/>
      <c r="S129" s="140"/>
      <c r="T129" s="140"/>
      <c r="U129" s="107"/>
      <c r="V129" s="107"/>
      <c r="W129" s="107"/>
      <c r="X129" s="107"/>
      <c r="Y129" s="107"/>
      <c r="Z129" s="107"/>
      <c r="AA129" s="107"/>
      <c r="AB129" s="107"/>
      <c r="AC129" s="107"/>
    </row>
    <row r="130" ht="15.75" customHeight="1">
      <c r="A130" s="255"/>
      <c r="B130" s="256"/>
      <c r="C130" s="257"/>
      <c r="D130" s="264"/>
      <c r="E130" s="262"/>
      <c r="F130" s="139"/>
      <c r="G130" s="139"/>
      <c r="H130" s="241"/>
      <c r="I130" s="139"/>
      <c r="J130" s="243"/>
      <c r="K130" s="263"/>
      <c r="L130" s="263"/>
      <c r="M130" s="141"/>
      <c r="N130" s="140"/>
      <c r="O130" s="140"/>
      <c r="P130" s="140"/>
      <c r="Q130" s="140"/>
      <c r="R130" s="140"/>
      <c r="S130" s="140"/>
      <c r="T130" s="140"/>
      <c r="U130" s="107"/>
      <c r="V130" s="107"/>
      <c r="W130" s="107"/>
      <c r="X130" s="107"/>
      <c r="Y130" s="107"/>
      <c r="Z130" s="107"/>
      <c r="AA130" s="107"/>
      <c r="AB130" s="107"/>
      <c r="AC130" s="107"/>
    </row>
    <row r="131" ht="15.75" customHeight="1">
      <c r="A131" s="255"/>
      <c r="B131" s="256"/>
      <c r="C131" s="257"/>
      <c r="D131" s="265"/>
      <c r="E131" s="262"/>
      <c r="F131" s="139"/>
      <c r="G131" s="139"/>
      <c r="H131" s="241"/>
      <c r="I131" s="139"/>
      <c r="J131" s="243"/>
      <c r="K131" s="139"/>
      <c r="L131" s="195"/>
      <c r="M131" s="141"/>
      <c r="N131" s="140"/>
      <c r="O131" s="140"/>
      <c r="P131" s="140"/>
      <c r="Q131" s="140"/>
      <c r="R131" s="140"/>
      <c r="S131" s="140"/>
      <c r="T131" s="140"/>
      <c r="U131" s="107"/>
      <c r="V131" s="107"/>
      <c r="W131" s="107"/>
      <c r="X131" s="107"/>
      <c r="Y131" s="107"/>
      <c r="Z131" s="107"/>
      <c r="AA131" s="107"/>
      <c r="AB131" s="107"/>
      <c r="AC131" s="107"/>
    </row>
    <row r="132" ht="15.75" customHeight="1">
      <c r="A132" s="255"/>
      <c r="B132" s="256"/>
      <c r="C132" s="257"/>
      <c r="D132" s="117"/>
      <c r="E132" s="262"/>
      <c r="F132" s="139"/>
      <c r="G132" s="139"/>
      <c r="H132" s="241"/>
      <c r="I132" s="139"/>
      <c r="J132" s="243"/>
      <c r="K132" s="139"/>
      <c r="L132" s="195"/>
      <c r="M132" s="141"/>
      <c r="N132" s="140"/>
      <c r="O132" s="140"/>
      <c r="P132" s="140"/>
      <c r="Q132" s="140"/>
      <c r="R132" s="140"/>
      <c r="S132" s="140"/>
      <c r="T132" s="140"/>
      <c r="U132" s="107"/>
      <c r="V132" s="107"/>
      <c r="W132" s="107"/>
      <c r="X132" s="107"/>
      <c r="Y132" s="107"/>
      <c r="Z132" s="107"/>
      <c r="AA132" s="107"/>
      <c r="AB132" s="107"/>
      <c r="AC132" s="107"/>
    </row>
    <row r="133" ht="15.75" customHeight="1">
      <c r="A133" s="255"/>
      <c r="B133" s="256"/>
      <c r="C133" s="257"/>
      <c r="D133" s="117"/>
      <c r="E133" s="266"/>
      <c r="F133" s="267"/>
      <c r="G133" s="139"/>
      <c r="H133" s="241"/>
      <c r="I133" s="139"/>
      <c r="J133" s="243"/>
      <c r="K133" s="139"/>
      <c r="L133" s="195"/>
      <c r="M133" s="195"/>
      <c r="N133" s="140"/>
      <c r="O133" s="140"/>
      <c r="P133" s="140"/>
      <c r="Q133" s="140"/>
      <c r="R133" s="140"/>
      <c r="S133" s="140"/>
      <c r="T133" s="140"/>
      <c r="U133" s="107"/>
      <c r="V133" s="107"/>
      <c r="W133" s="107"/>
      <c r="X133" s="107"/>
      <c r="Y133" s="107"/>
      <c r="Z133" s="107"/>
      <c r="AA133" s="107"/>
      <c r="AB133" s="107"/>
      <c r="AC133" s="107"/>
    </row>
    <row r="134" ht="15.75" customHeight="1">
      <c r="A134" s="255"/>
      <c r="B134" s="256"/>
      <c r="C134" s="257"/>
      <c r="D134" s="117"/>
      <c r="E134" s="262"/>
      <c r="F134" s="139"/>
      <c r="G134" s="139"/>
      <c r="H134" s="241"/>
      <c r="I134" s="139"/>
      <c r="J134" s="243"/>
      <c r="K134" s="263"/>
      <c r="L134" s="195"/>
      <c r="M134" s="195"/>
      <c r="N134" s="140"/>
      <c r="O134" s="140"/>
      <c r="P134" s="140"/>
      <c r="Q134" s="140"/>
      <c r="R134" s="140"/>
      <c r="S134" s="140"/>
      <c r="T134" s="140"/>
      <c r="U134" s="107"/>
      <c r="V134" s="107"/>
      <c r="W134" s="107"/>
      <c r="X134" s="107"/>
      <c r="Y134" s="107"/>
      <c r="Z134" s="107"/>
      <c r="AA134" s="107"/>
      <c r="AB134" s="107"/>
      <c r="AC134" s="107"/>
    </row>
    <row r="135" ht="15.75" customHeight="1">
      <c r="A135" s="255"/>
      <c r="B135" s="256"/>
      <c r="C135" s="257"/>
      <c r="D135" s="117"/>
      <c r="E135" s="262"/>
      <c r="F135" s="139"/>
      <c r="G135" s="139"/>
      <c r="H135" s="241"/>
      <c r="I135" s="139"/>
      <c r="J135" s="243"/>
      <c r="K135" s="139"/>
      <c r="L135" s="195"/>
      <c r="M135" s="195"/>
      <c r="N135" s="140"/>
      <c r="O135" s="140"/>
      <c r="P135" s="140"/>
      <c r="Q135" s="140"/>
      <c r="R135" s="140"/>
      <c r="S135" s="140"/>
      <c r="T135" s="140"/>
      <c r="U135" s="107"/>
      <c r="V135" s="107"/>
      <c r="W135" s="107"/>
      <c r="X135" s="107"/>
      <c r="Y135" s="107"/>
      <c r="Z135" s="107"/>
      <c r="AA135" s="107"/>
      <c r="AB135" s="107"/>
      <c r="AC135" s="107"/>
    </row>
    <row r="136" ht="15.75" customHeight="1">
      <c r="A136" s="255"/>
      <c r="B136" s="256"/>
      <c r="C136" s="257"/>
      <c r="D136" s="117"/>
      <c r="E136" s="262"/>
      <c r="F136" s="139"/>
      <c r="G136" s="139"/>
      <c r="H136" s="241"/>
      <c r="I136" s="139"/>
      <c r="J136" s="243"/>
      <c r="K136" s="263"/>
      <c r="L136" s="195"/>
      <c r="M136" s="141"/>
      <c r="N136" s="140"/>
      <c r="O136" s="140"/>
      <c r="P136" s="140"/>
      <c r="Q136" s="140"/>
      <c r="R136" s="140"/>
      <c r="S136" s="140"/>
      <c r="T136" s="140"/>
      <c r="U136" s="107"/>
      <c r="V136" s="107"/>
      <c r="W136" s="107"/>
      <c r="X136" s="107"/>
      <c r="Y136" s="107"/>
      <c r="Z136" s="107"/>
      <c r="AA136" s="107"/>
      <c r="AB136" s="107"/>
      <c r="AC136" s="107"/>
    </row>
    <row r="137" ht="15.75" customHeight="1">
      <c r="A137" s="255"/>
      <c r="B137" s="256"/>
      <c r="C137" s="257"/>
      <c r="D137" s="117"/>
      <c r="E137" s="262"/>
      <c r="F137" s="139"/>
      <c r="G137" s="139"/>
      <c r="H137" s="241"/>
      <c r="I137" s="139"/>
      <c r="J137" s="243"/>
      <c r="K137" s="139"/>
      <c r="L137" s="195"/>
      <c r="M137" s="141"/>
      <c r="N137" s="140"/>
      <c r="O137" s="140"/>
      <c r="P137" s="140"/>
      <c r="Q137" s="140"/>
      <c r="R137" s="140"/>
      <c r="S137" s="140"/>
      <c r="T137" s="140"/>
      <c r="U137" s="107"/>
      <c r="V137" s="107"/>
      <c r="W137" s="107"/>
      <c r="X137" s="107"/>
      <c r="Y137" s="107"/>
      <c r="Z137" s="107"/>
      <c r="AA137" s="107"/>
      <c r="AB137" s="107"/>
      <c r="AC137" s="107"/>
    </row>
    <row r="138" ht="15.75" customHeight="1">
      <c r="A138" s="255"/>
      <c r="B138" s="256"/>
      <c r="C138" s="257"/>
      <c r="D138" s="117"/>
      <c r="E138" s="262"/>
      <c r="F138" s="139"/>
      <c r="G138" s="139"/>
      <c r="H138" s="241"/>
      <c r="I138" s="139"/>
      <c r="J138" s="243"/>
      <c r="K138" s="139"/>
      <c r="L138" s="195"/>
      <c r="M138" s="141"/>
      <c r="N138" s="140"/>
      <c r="O138" s="140"/>
      <c r="P138" s="140"/>
      <c r="Q138" s="140"/>
      <c r="R138" s="140"/>
      <c r="S138" s="140"/>
      <c r="T138" s="140"/>
      <c r="U138" s="107"/>
      <c r="V138" s="107"/>
      <c r="W138" s="107"/>
      <c r="X138" s="107"/>
      <c r="Y138" s="107"/>
      <c r="Z138" s="107"/>
      <c r="AA138" s="107"/>
      <c r="AB138" s="107"/>
      <c r="AC138" s="107"/>
    </row>
    <row r="139" ht="15.75" customHeight="1">
      <c r="A139" s="255"/>
      <c r="B139" s="256"/>
      <c r="C139" s="257"/>
      <c r="D139" s="117"/>
      <c r="E139" s="266"/>
      <c r="F139" s="267"/>
      <c r="G139" s="139"/>
      <c r="H139" s="241"/>
      <c r="I139" s="139"/>
      <c r="J139" s="243"/>
      <c r="K139" s="139"/>
      <c r="L139" s="195"/>
      <c r="M139" s="195"/>
      <c r="N139" s="140"/>
      <c r="O139" s="140"/>
      <c r="P139" s="140"/>
      <c r="Q139" s="140"/>
      <c r="R139" s="140"/>
      <c r="S139" s="140"/>
      <c r="T139" s="140"/>
      <c r="U139" s="107"/>
      <c r="V139" s="107"/>
      <c r="W139" s="107"/>
      <c r="X139" s="107"/>
      <c r="Y139" s="107"/>
      <c r="Z139" s="107"/>
      <c r="AA139" s="107"/>
      <c r="AB139" s="107"/>
      <c r="AC139" s="107"/>
    </row>
    <row r="140" ht="15.75" customHeight="1">
      <c r="A140" s="255"/>
      <c r="B140" s="256"/>
      <c r="C140" s="257"/>
      <c r="D140" s="117"/>
      <c r="E140" s="259"/>
      <c r="F140" s="141"/>
      <c r="G140" s="141"/>
      <c r="H140" s="260"/>
      <c r="I140" s="141"/>
      <c r="J140" s="243"/>
      <c r="K140" s="141"/>
      <c r="L140" s="195"/>
      <c r="M140" s="195"/>
      <c r="N140" s="140"/>
      <c r="O140" s="140"/>
      <c r="P140" s="140"/>
      <c r="Q140" s="140"/>
      <c r="R140" s="140"/>
      <c r="S140" s="140"/>
      <c r="T140" s="140"/>
      <c r="U140" s="107"/>
      <c r="V140" s="107"/>
      <c r="W140" s="107"/>
      <c r="X140" s="107"/>
      <c r="Y140" s="107"/>
      <c r="Z140" s="107"/>
      <c r="AA140" s="107"/>
      <c r="AB140" s="107"/>
      <c r="AC140" s="107"/>
    </row>
    <row r="141" ht="15.75" customHeight="1">
      <c r="A141" s="255"/>
      <c r="B141" s="256"/>
      <c r="C141" s="257"/>
      <c r="D141" s="228"/>
      <c r="E141" s="262"/>
      <c r="F141" s="139"/>
      <c r="G141" s="139"/>
      <c r="H141" s="241"/>
      <c r="I141" s="139"/>
      <c r="J141" s="243"/>
      <c r="K141" s="263"/>
      <c r="L141" s="195"/>
      <c r="M141" s="195"/>
      <c r="N141" s="140"/>
      <c r="O141" s="140"/>
      <c r="P141" s="140"/>
      <c r="Q141" s="140"/>
      <c r="R141" s="140"/>
      <c r="S141" s="140"/>
      <c r="T141" s="140"/>
      <c r="U141" s="107"/>
      <c r="V141" s="107"/>
      <c r="W141" s="107"/>
      <c r="X141" s="107"/>
      <c r="Y141" s="107"/>
      <c r="Z141" s="107"/>
      <c r="AA141" s="107"/>
      <c r="AB141" s="107"/>
      <c r="AC141" s="107"/>
    </row>
    <row r="142" ht="15.75" customHeight="1">
      <c r="A142" s="255"/>
      <c r="B142" s="256"/>
      <c r="C142" s="257"/>
      <c r="D142" s="264"/>
      <c r="E142" s="262"/>
      <c r="F142" s="139"/>
      <c r="G142" s="139"/>
      <c r="H142" s="241"/>
      <c r="I142" s="139"/>
      <c r="J142" s="243"/>
      <c r="K142" s="139"/>
      <c r="L142" s="139"/>
      <c r="M142" s="195"/>
      <c r="N142" s="140"/>
      <c r="O142" s="140"/>
      <c r="P142" s="140"/>
      <c r="Q142" s="140"/>
      <c r="R142" s="140"/>
      <c r="S142" s="140"/>
      <c r="T142" s="140"/>
      <c r="U142" s="107"/>
      <c r="V142" s="107"/>
      <c r="W142" s="107"/>
      <c r="X142" s="107"/>
      <c r="Y142" s="107"/>
      <c r="Z142" s="107"/>
      <c r="AA142" s="107"/>
      <c r="AB142" s="107"/>
      <c r="AC142" s="107"/>
    </row>
    <row r="143" ht="15.75" customHeight="1">
      <c r="A143" s="255"/>
      <c r="B143" s="256"/>
      <c r="C143" s="257"/>
      <c r="D143" s="268"/>
      <c r="E143" s="262"/>
      <c r="F143" s="139"/>
      <c r="G143" s="139"/>
      <c r="H143" s="241"/>
      <c r="I143" s="139"/>
      <c r="J143" s="243"/>
      <c r="K143" s="263"/>
      <c r="L143" s="195"/>
      <c r="M143" s="141"/>
      <c r="N143" s="140"/>
      <c r="O143" s="140"/>
      <c r="P143" s="140"/>
      <c r="Q143" s="140"/>
      <c r="R143" s="140"/>
      <c r="S143" s="140"/>
      <c r="T143" s="140"/>
      <c r="U143" s="107"/>
      <c r="V143" s="107"/>
      <c r="W143" s="107"/>
      <c r="X143" s="107"/>
      <c r="Y143" s="107"/>
      <c r="Z143" s="107"/>
      <c r="AA143" s="107"/>
      <c r="AB143" s="107"/>
      <c r="AC143" s="107"/>
    </row>
    <row r="144" ht="15.75" customHeight="1">
      <c r="A144" s="255"/>
      <c r="B144" s="256"/>
      <c r="C144" s="257"/>
      <c r="E144" s="262"/>
      <c r="F144" s="139"/>
      <c r="G144" s="139"/>
      <c r="H144" s="241"/>
      <c r="I144" s="139"/>
      <c r="J144" s="243"/>
      <c r="K144" s="139"/>
      <c r="L144" s="195"/>
      <c r="M144" s="141"/>
      <c r="N144" s="140"/>
      <c r="O144" s="140"/>
      <c r="P144" s="140"/>
      <c r="Q144" s="140"/>
      <c r="R144" s="140"/>
      <c r="S144" s="140"/>
      <c r="T144" s="140"/>
      <c r="U144" s="107"/>
      <c r="V144" s="107"/>
      <c r="W144" s="107"/>
      <c r="X144" s="107"/>
      <c r="Y144" s="107"/>
      <c r="Z144" s="107"/>
      <c r="AA144" s="107"/>
      <c r="AB144" s="107"/>
      <c r="AC144" s="107"/>
    </row>
    <row r="145" ht="15.75" customHeight="1">
      <c r="A145" s="255"/>
      <c r="B145" s="256"/>
      <c r="C145" s="257"/>
      <c r="E145" s="262"/>
      <c r="F145" s="139"/>
      <c r="G145" s="139"/>
      <c r="H145" s="241"/>
      <c r="I145" s="139"/>
      <c r="J145" s="243"/>
      <c r="K145" s="139"/>
      <c r="L145" s="195"/>
      <c r="M145" s="141"/>
      <c r="N145" s="140"/>
      <c r="O145" s="140"/>
      <c r="P145" s="140"/>
      <c r="Q145" s="140"/>
      <c r="R145" s="140"/>
      <c r="S145" s="140"/>
      <c r="T145" s="140"/>
      <c r="U145" s="107"/>
      <c r="V145" s="107"/>
      <c r="W145" s="107"/>
      <c r="X145" s="107"/>
      <c r="Y145" s="107"/>
      <c r="Z145" s="107"/>
      <c r="AA145" s="107"/>
      <c r="AB145" s="107"/>
      <c r="AC145" s="107"/>
    </row>
    <row r="146" ht="15.75" customHeight="1">
      <c r="A146" s="255"/>
      <c r="B146" s="256"/>
      <c r="C146" s="257"/>
      <c r="E146" s="266"/>
      <c r="F146" s="267"/>
      <c r="G146" s="139"/>
      <c r="H146" s="241"/>
      <c r="I146" s="139"/>
      <c r="J146" s="243"/>
      <c r="K146" s="139"/>
      <c r="L146" s="195"/>
      <c r="M146" s="195"/>
      <c r="N146" s="269"/>
      <c r="O146" s="140"/>
      <c r="P146" s="140"/>
      <c r="Q146" s="140"/>
      <c r="R146" s="140"/>
      <c r="S146" s="140"/>
      <c r="T146" s="140"/>
      <c r="U146" s="107"/>
      <c r="V146" s="107"/>
      <c r="W146" s="107"/>
      <c r="X146" s="107"/>
      <c r="Y146" s="107"/>
      <c r="Z146" s="107"/>
      <c r="AA146" s="107"/>
      <c r="AB146" s="107"/>
      <c r="AC146" s="107"/>
    </row>
    <row r="147" ht="15.75" customHeight="1">
      <c r="A147" s="255"/>
      <c r="B147" s="256"/>
      <c r="C147" s="257"/>
      <c r="E147" s="270"/>
      <c r="F147" s="271"/>
      <c r="G147" s="271"/>
      <c r="H147" s="272"/>
      <c r="I147" s="271"/>
      <c r="J147" s="273"/>
      <c r="K147" s="271"/>
      <c r="L147" s="271"/>
      <c r="M147" s="274"/>
      <c r="N147" s="73"/>
      <c r="O147" s="73"/>
      <c r="P147" s="73"/>
      <c r="Q147" s="73"/>
      <c r="R147" s="73"/>
      <c r="S147" s="73"/>
      <c r="T147" s="73"/>
      <c r="U147" s="58"/>
      <c r="V147" s="58"/>
      <c r="W147" s="58"/>
      <c r="X147" s="58"/>
      <c r="Y147" s="58"/>
      <c r="Z147" s="58"/>
      <c r="AA147" s="58"/>
      <c r="AB147" s="58"/>
      <c r="AC147" s="58"/>
    </row>
    <row r="148" ht="15.75" customHeight="1">
      <c r="A148" s="255"/>
      <c r="B148" s="256"/>
      <c r="C148" s="257"/>
      <c r="E148" s="270"/>
      <c r="F148" s="275"/>
      <c r="G148" s="276"/>
      <c r="H148" s="277"/>
      <c r="I148" s="276"/>
      <c r="J148" s="273"/>
      <c r="K148" s="278"/>
      <c r="L148" s="279"/>
      <c r="M148" s="280"/>
      <c r="N148" s="73"/>
      <c r="O148" s="73"/>
      <c r="P148" s="73"/>
      <c r="Q148" s="73"/>
      <c r="R148" s="73"/>
      <c r="S148" s="73"/>
      <c r="T148" s="73"/>
      <c r="U148" s="58"/>
      <c r="V148" s="58"/>
      <c r="W148" s="58"/>
      <c r="X148" s="58"/>
      <c r="Y148" s="58"/>
      <c r="Z148" s="58"/>
      <c r="AA148" s="58"/>
      <c r="AB148" s="58"/>
      <c r="AC148" s="58"/>
    </row>
    <row r="149" ht="15.75" customHeight="1">
      <c r="A149" s="255"/>
      <c r="B149" s="256"/>
      <c r="C149" s="257"/>
      <c r="E149" s="281"/>
      <c r="F149" s="282"/>
      <c r="G149" s="282"/>
      <c r="H149" s="283"/>
      <c r="I149" s="282"/>
      <c r="J149" s="284"/>
      <c r="K149" s="285"/>
      <c r="L149" s="280"/>
      <c r="M149" s="280"/>
      <c r="N149" s="73"/>
      <c r="O149" s="73"/>
      <c r="P149" s="73"/>
      <c r="Q149" s="73"/>
      <c r="R149" s="73"/>
      <c r="S149" s="73"/>
      <c r="T149" s="73"/>
      <c r="U149" s="58"/>
      <c r="V149" s="58"/>
      <c r="W149" s="58"/>
      <c r="X149" s="58"/>
      <c r="Y149" s="58"/>
      <c r="Z149" s="58"/>
      <c r="AA149" s="58"/>
      <c r="AB149" s="58"/>
      <c r="AC149" s="58"/>
    </row>
    <row r="150" ht="15.75" customHeight="1">
      <c r="A150" s="255"/>
      <c r="B150" s="256"/>
      <c r="C150" s="257"/>
      <c r="E150" s="281"/>
      <c r="F150" s="282"/>
      <c r="G150" s="282"/>
      <c r="H150" s="283"/>
      <c r="I150" s="282"/>
      <c r="J150" s="284"/>
      <c r="K150" s="286"/>
      <c r="L150" s="280"/>
      <c r="M150" s="280"/>
      <c r="N150" s="73"/>
      <c r="O150" s="73"/>
      <c r="P150" s="73"/>
      <c r="Q150" s="73"/>
      <c r="R150" s="73"/>
      <c r="S150" s="73"/>
      <c r="T150" s="73"/>
      <c r="U150" s="58"/>
      <c r="V150" s="58"/>
      <c r="W150" s="58"/>
      <c r="X150" s="58"/>
      <c r="Y150" s="58"/>
      <c r="Z150" s="58"/>
      <c r="AA150" s="58"/>
      <c r="AB150" s="58"/>
      <c r="AC150" s="58"/>
    </row>
    <row r="151" ht="15.75" customHeight="1">
      <c r="A151" s="255"/>
      <c r="B151" s="256"/>
      <c r="C151" s="257"/>
      <c r="E151" s="287"/>
      <c r="F151" s="282"/>
      <c r="G151" s="282"/>
      <c r="H151" s="283"/>
      <c r="I151" s="282"/>
      <c r="J151" s="284"/>
      <c r="K151" s="286"/>
      <c r="L151" s="280"/>
      <c r="M151" s="280"/>
      <c r="N151" s="73"/>
      <c r="O151" s="73"/>
      <c r="P151" s="73"/>
      <c r="Q151" s="73"/>
      <c r="R151" s="73"/>
      <c r="S151" s="73"/>
      <c r="T151" s="73"/>
      <c r="U151" s="58"/>
      <c r="V151" s="58"/>
      <c r="W151" s="58"/>
      <c r="X151" s="58"/>
      <c r="Y151" s="58"/>
      <c r="Z151" s="58"/>
      <c r="AA151" s="58"/>
      <c r="AB151" s="58"/>
      <c r="AC151" s="58"/>
    </row>
    <row r="152" ht="15.75" customHeight="1">
      <c r="A152" s="255"/>
      <c r="B152" s="256"/>
      <c r="C152" s="257"/>
      <c r="E152" s="288"/>
      <c r="F152" s="275"/>
      <c r="G152" s="276"/>
      <c r="H152" s="277"/>
      <c r="I152" s="276"/>
      <c r="J152" s="284"/>
      <c r="K152" s="286"/>
      <c r="L152" s="280"/>
      <c r="M152" s="280"/>
      <c r="N152" s="73"/>
      <c r="O152" s="73"/>
      <c r="P152" s="73"/>
      <c r="Q152" s="73"/>
      <c r="R152" s="73"/>
      <c r="S152" s="73"/>
      <c r="T152" s="73"/>
      <c r="U152" s="58"/>
      <c r="V152" s="58"/>
      <c r="W152" s="58"/>
      <c r="X152" s="58"/>
      <c r="Y152" s="58"/>
      <c r="Z152" s="58"/>
      <c r="AA152" s="58"/>
      <c r="AB152" s="58"/>
      <c r="AC152" s="58"/>
    </row>
    <row r="153" ht="15.75" customHeight="1">
      <c r="A153" s="255"/>
      <c r="B153" s="256"/>
      <c r="C153" s="257"/>
      <c r="D153" s="289"/>
      <c r="E153" s="270"/>
      <c r="F153" s="282"/>
      <c r="G153" s="282"/>
      <c r="H153" s="283"/>
      <c r="I153" s="282"/>
      <c r="J153" s="284"/>
      <c r="K153" s="286"/>
      <c r="L153" s="286"/>
      <c r="M153" s="280"/>
      <c r="N153" s="73"/>
      <c r="O153" s="73"/>
      <c r="P153" s="73"/>
      <c r="Q153" s="73"/>
      <c r="R153" s="73"/>
      <c r="S153" s="73"/>
      <c r="T153" s="73"/>
      <c r="U153" s="58"/>
      <c r="V153" s="58"/>
      <c r="W153" s="58"/>
      <c r="X153" s="58"/>
      <c r="Y153" s="58"/>
      <c r="Z153" s="58"/>
      <c r="AA153" s="58"/>
      <c r="AB153" s="58"/>
      <c r="AC153" s="58"/>
    </row>
    <row r="154" ht="15.75" customHeight="1">
      <c r="A154" s="255"/>
      <c r="B154" s="256"/>
      <c r="C154" s="257"/>
      <c r="D154" s="290"/>
      <c r="E154" s="291"/>
      <c r="F154" s="275"/>
      <c r="G154" s="276"/>
      <c r="H154" s="277"/>
      <c r="I154" s="276"/>
      <c r="J154" s="284"/>
      <c r="K154" s="285"/>
      <c r="L154" s="280"/>
      <c r="M154" s="292"/>
      <c r="N154" s="73"/>
      <c r="O154" s="73"/>
      <c r="P154" s="73"/>
      <c r="Q154" s="73"/>
      <c r="R154" s="73"/>
      <c r="S154" s="73"/>
      <c r="T154" s="73"/>
      <c r="U154" s="58"/>
      <c r="V154" s="58"/>
      <c r="W154" s="58"/>
      <c r="X154" s="58"/>
      <c r="Y154" s="58"/>
      <c r="Z154" s="58"/>
      <c r="AA154" s="58"/>
      <c r="AB154" s="58"/>
      <c r="AC154" s="58"/>
    </row>
    <row r="155" ht="15.75" customHeight="1">
      <c r="A155" s="255"/>
      <c r="B155" s="256"/>
      <c r="C155" s="257"/>
      <c r="D155" s="293"/>
      <c r="E155" s="281"/>
      <c r="F155" s="282"/>
      <c r="G155" s="282"/>
      <c r="H155" s="283"/>
      <c r="I155" s="282"/>
      <c r="J155" s="284"/>
      <c r="K155" s="285"/>
      <c r="L155" s="280"/>
      <c r="M155" s="292"/>
      <c r="N155" s="73"/>
      <c r="O155" s="73"/>
      <c r="P155" s="73"/>
      <c r="Q155" s="73"/>
      <c r="R155" s="73"/>
      <c r="S155" s="73"/>
      <c r="T155" s="73"/>
      <c r="U155" s="58"/>
      <c r="V155" s="58"/>
      <c r="W155" s="58"/>
      <c r="X155" s="58"/>
      <c r="Y155" s="58"/>
      <c r="Z155" s="58"/>
      <c r="AA155" s="58"/>
      <c r="AB155" s="58"/>
      <c r="AC155" s="58"/>
    </row>
    <row r="156" ht="15.75" customHeight="1">
      <c r="A156" s="255"/>
      <c r="B156" s="256"/>
      <c r="C156" s="257"/>
      <c r="D156" s="294"/>
      <c r="E156" s="295"/>
      <c r="F156" s="275"/>
      <c r="G156" s="276"/>
      <c r="H156" s="277"/>
      <c r="I156" s="276"/>
      <c r="J156" s="284"/>
      <c r="K156" s="286"/>
      <c r="L156" s="73"/>
      <c r="M156" s="292"/>
      <c r="N156" s="73"/>
      <c r="O156" s="73"/>
      <c r="P156" s="73"/>
      <c r="Q156" s="73"/>
      <c r="R156" s="73"/>
      <c r="S156" s="73"/>
      <c r="T156" s="73"/>
      <c r="U156" s="58"/>
      <c r="V156" s="58"/>
      <c r="W156" s="58"/>
      <c r="X156" s="58"/>
      <c r="Y156" s="58"/>
      <c r="Z156" s="58"/>
      <c r="AA156" s="58"/>
      <c r="AB156" s="58"/>
      <c r="AC156" s="58"/>
    </row>
    <row r="157" ht="15.75" customHeight="1">
      <c r="A157" s="255"/>
      <c r="B157" s="256"/>
      <c r="C157" s="257"/>
      <c r="D157" s="290"/>
      <c r="E157" s="281"/>
      <c r="F157" s="282"/>
      <c r="G157" s="282"/>
      <c r="H157" s="283"/>
      <c r="I157" s="282"/>
      <c r="J157" s="284"/>
      <c r="K157" s="286"/>
      <c r="L157" s="280"/>
      <c r="M157" s="292"/>
      <c r="N157" s="73"/>
      <c r="O157" s="73"/>
      <c r="P157" s="73"/>
      <c r="Q157" s="73"/>
      <c r="R157" s="73"/>
      <c r="S157" s="73"/>
      <c r="T157" s="73"/>
      <c r="U157" s="58"/>
      <c r="V157" s="58"/>
      <c r="W157" s="58"/>
      <c r="X157" s="58"/>
      <c r="Y157" s="58"/>
      <c r="Z157" s="58"/>
      <c r="AA157" s="58"/>
      <c r="AB157" s="58"/>
      <c r="AC157" s="58"/>
    </row>
    <row r="158" ht="15.75" customHeight="1">
      <c r="A158" s="255"/>
      <c r="B158" s="256"/>
      <c r="C158" s="257"/>
      <c r="D158" s="293"/>
      <c r="E158" s="291"/>
      <c r="F158" s="282"/>
      <c r="G158" s="282"/>
      <c r="H158" s="283"/>
      <c r="I158" s="282"/>
      <c r="J158" s="284"/>
      <c r="K158" s="286"/>
      <c r="L158" s="280"/>
      <c r="M158" s="292"/>
      <c r="N158" s="73"/>
      <c r="O158" s="73"/>
      <c r="P158" s="73"/>
      <c r="Q158" s="73"/>
      <c r="R158" s="73"/>
      <c r="S158" s="73"/>
      <c r="T158" s="73"/>
      <c r="U158" s="58"/>
      <c r="V158" s="58"/>
      <c r="W158" s="58"/>
      <c r="X158" s="58"/>
      <c r="Y158" s="58"/>
      <c r="Z158" s="58"/>
      <c r="AA158" s="58"/>
      <c r="AB158" s="58"/>
      <c r="AC158" s="58"/>
    </row>
    <row r="159" ht="15.75" customHeight="1">
      <c r="A159" s="255"/>
      <c r="B159" s="256"/>
      <c r="C159" s="257"/>
      <c r="D159" s="293"/>
      <c r="E159" s="281"/>
      <c r="F159" s="282"/>
      <c r="G159" s="282"/>
      <c r="H159" s="283"/>
      <c r="I159" s="282"/>
      <c r="J159" s="284"/>
      <c r="K159" s="286"/>
      <c r="L159" s="280"/>
      <c r="M159" s="292"/>
      <c r="N159" s="73"/>
      <c r="O159" s="73"/>
      <c r="P159" s="73"/>
      <c r="Q159" s="73"/>
      <c r="R159" s="73"/>
      <c r="S159" s="73"/>
      <c r="T159" s="73"/>
      <c r="U159" s="58"/>
      <c r="V159" s="58"/>
      <c r="W159" s="58"/>
      <c r="X159" s="58"/>
      <c r="Y159" s="58"/>
      <c r="Z159" s="58"/>
      <c r="AA159" s="58"/>
      <c r="AB159" s="58"/>
      <c r="AC159" s="58"/>
    </row>
    <row r="160" ht="15.75" customHeight="1">
      <c r="A160" s="255"/>
      <c r="B160" s="256"/>
      <c r="C160" s="257"/>
      <c r="D160" s="293"/>
      <c r="E160" s="291"/>
      <c r="F160" s="275"/>
      <c r="G160" s="276"/>
      <c r="H160" s="277"/>
      <c r="I160" s="276"/>
      <c r="J160" s="284"/>
      <c r="K160" s="286"/>
      <c r="L160" s="280"/>
      <c r="M160" s="280"/>
      <c r="N160" s="73"/>
      <c r="O160" s="73"/>
      <c r="P160" s="73"/>
      <c r="Q160" s="73"/>
      <c r="R160" s="73"/>
      <c r="S160" s="73"/>
      <c r="T160" s="73"/>
      <c r="U160" s="58"/>
      <c r="V160" s="58"/>
      <c r="W160" s="58"/>
      <c r="X160" s="58"/>
      <c r="Y160" s="58"/>
      <c r="Z160" s="58"/>
      <c r="AA160" s="58"/>
      <c r="AB160" s="58"/>
      <c r="AC160" s="58"/>
    </row>
    <row r="161" ht="15.75" customHeight="1">
      <c r="A161" s="255"/>
      <c r="B161" s="256"/>
      <c r="C161" s="257"/>
      <c r="D161" s="293"/>
      <c r="E161" s="288"/>
      <c r="F161" s="296"/>
      <c r="G161" s="286"/>
      <c r="H161" s="297"/>
      <c r="I161" s="286"/>
      <c r="J161" s="284"/>
      <c r="K161" s="286"/>
      <c r="L161" s="280"/>
      <c r="M161" s="280"/>
      <c r="N161" s="73"/>
      <c r="O161" s="73"/>
      <c r="P161" s="73"/>
      <c r="Q161" s="73"/>
      <c r="R161" s="73"/>
      <c r="S161" s="73"/>
      <c r="T161" s="73"/>
      <c r="U161" s="58"/>
      <c r="V161" s="58"/>
      <c r="W161" s="58"/>
      <c r="X161" s="58"/>
      <c r="Y161" s="58"/>
      <c r="Z161" s="58"/>
      <c r="AA161" s="58"/>
      <c r="AB161" s="58"/>
      <c r="AC161" s="58"/>
    </row>
    <row r="162" ht="15.75" customHeight="1">
      <c r="A162" s="255"/>
      <c r="B162" s="256"/>
      <c r="C162" s="257"/>
      <c r="D162" s="293"/>
      <c r="E162" s="291"/>
      <c r="F162" s="298"/>
      <c r="G162" s="276"/>
      <c r="H162" s="277"/>
      <c r="I162" s="276"/>
      <c r="J162" s="284"/>
      <c r="K162" s="286"/>
      <c r="L162" s="280"/>
      <c r="M162" s="280"/>
      <c r="N162" s="73"/>
      <c r="O162" s="73"/>
      <c r="P162" s="73"/>
      <c r="Q162" s="73"/>
      <c r="R162" s="73"/>
      <c r="S162" s="73"/>
      <c r="T162" s="73"/>
      <c r="U162" s="58"/>
      <c r="V162" s="58"/>
      <c r="W162" s="58"/>
      <c r="X162" s="58"/>
      <c r="Y162" s="58"/>
      <c r="Z162" s="58"/>
      <c r="AA162" s="58"/>
      <c r="AB162" s="58"/>
      <c r="AC162" s="58"/>
    </row>
    <row r="163" ht="15.75" customHeight="1">
      <c r="A163" s="255"/>
      <c r="B163" s="256"/>
      <c r="C163" s="257"/>
      <c r="D163" s="16"/>
      <c r="E163" s="288"/>
      <c r="F163" s="299"/>
      <c r="G163" s="286"/>
      <c r="H163" s="297"/>
      <c r="I163" s="286"/>
      <c r="J163" s="284"/>
      <c r="K163" s="286"/>
      <c r="L163" s="280"/>
      <c r="M163" s="280"/>
      <c r="N163" s="73"/>
      <c r="O163" s="73"/>
      <c r="P163" s="73"/>
      <c r="Q163" s="73"/>
      <c r="R163" s="73"/>
      <c r="S163" s="73"/>
      <c r="T163" s="73"/>
      <c r="U163" s="58"/>
      <c r="V163" s="58"/>
      <c r="W163" s="58"/>
      <c r="X163" s="58"/>
      <c r="Y163" s="58"/>
      <c r="Z163" s="58"/>
      <c r="AA163" s="58"/>
      <c r="AB163" s="58"/>
      <c r="AC163" s="58"/>
    </row>
    <row r="164" ht="15.75" customHeight="1">
      <c r="A164" s="255"/>
      <c r="B164" s="256"/>
      <c r="C164" s="257"/>
      <c r="D164" s="300"/>
      <c r="E164" s="288"/>
      <c r="F164" s="275"/>
      <c r="G164" s="276"/>
      <c r="H164" s="277"/>
      <c r="I164" s="276"/>
      <c r="J164" s="284"/>
      <c r="K164" s="286"/>
      <c r="L164" s="286"/>
      <c r="M164" s="280"/>
      <c r="N164" s="73"/>
      <c r="O164" s="73"/>
      <c r="P164" s="73"/>
      <c r="Q164" s="73"/>
      <c r="R164" s="73"/>
      <c r="S164" s="73"/>
      <c r="T164" s="73"/>
      <c r="U164" s="58"/>
      <c r="V164" s="58"/>
      <c r="W164" s="58"/>
      <c r="X164" s="58"/>
      <c r="Y164" s="58"/>
      <c r="Z164" s="58"/>
      <c r="AA164" s="58"/>
      <c r="AB164" s="58"/>
      <c r="AC164" s="58"/>
    </row>
    <row r="165" ht="15.75" customHeight="1">
      <c r="A165" s="255"/>
      <c r="B165" s="256"/>
      <c r="C165" s="257"/>
      <c r="D165" s="301"/>
      <c r="E165" s="302"/>
      <c r="F165" s="303"/>
      <c r="G165" s="286"/>
      <c r="H165" s="297"/>
      <c r="I165" s="286"/>
      <c r="J165" s="284"/>
      <c r="K165" s="286"/>
      <c r="L165" s="280"/>
      <c r="M165" s="280"/>
      <c r="N165" s="73"/>
      <c r="O165" s="73"/>
      <c r="P165" s="73"/>
      <c r="Q165" s="73"/>
      <c r="R165" s="73"/>
      <c r="S165" s="73"/>
      <c r="T165" s="73"/>
      <c r="U165" s="58"/>
      <c r="V165" s="58"/>
      <c r="W165" s="58"/>
      <c r="X165" s="58"/>
      <c r="Y165" s="58"/>
      <c r="Z165" s="58"/>
      <c r="AA165" s="58"/>
      <c r="AB165" s="58"/>
      <c r="AC165" s="58"/>
    </row>
    <row r="166" ht="15.75" customHeight="1">
      <c r="A166" s="255"/>
      <c r="B166" s="256"/>
      <c r="C166" s="257"/>
      <c r="E166" s="288"/>
      <c r="F166" s="303"/>
      <c r="G166" s="286"/>
      <c r="H166" s="297"/>
      <c r="I166" s="286"/>
      <c r="J166" s="284"/>
      <c r="K166" s="286"/>
      <c r="L166" s="280"/>
      <c r="M166" s="280"/>
      <c r="N166" s="73"/>
      <c r="O166" s="73"/>
      <c r="P166" s="73"/>
      <c r="Q166" s="73"/>
      <c r="R166" s="73"/>
      <c r="S166" s="73"/>
      <c r="T166" s="73"/>
      <c r="U166" s="58"/>
      <c r="V166" s="58"/>
      <c r="W166" s="58"/>
      <c r="X166" s="58"/>
      <c r="Y166" s="58"/>
      <c r="Z166" s="58"/>
      <c r="AA166" s="58"/>
      <c r="AB166" s="58"/>
      <c r="AC166" s="58"/>
    </row>
    <row r="167" ht="15.75" customHeight="1">
      <c r="A167" s="255"/>
      <c r="B167" s="256"/>
      <c r="C167" s="257"/>
      <c r="E167" s="304"/>
      <c r="F167" s="292"/>
      <c r="G167" s="292"/>
      <c r="H167" s="305"/>
      <c r="I167" s="292"/>
      <c r="J167" s="284"/>
      <c r="K167" s="292"/>
      <c r="L167" s="280"/>
      <c r="M167" s="280"/>
      <c r="N167" s="73"/>
      <c r="O167" s="73"/>
      <c r="P167" s="73"/>
      <c r="Q167" s="73"/>
      <c r="R167" s="73"/>
      <c r="S167" s="73"/>
      <c r="T167" s="73"/>
      <c r="U167" s="58"/>
      <c r="V167" s="58"/>
      <c r="W167" s="58"/>
      <c r="X167" s="58"/>
      <c r="Y167" s="58"/>
      <c r="Z167" s="58"/>
      <c r="AA167" s="58"/>
      <c r="AB167" s="58"/>
      <c r="AC167" s="58"/>
    </row>
    <row r="168" ht="15.75" customHeight="1">
      <c r="A168" s="255"/>
      <c r="B168" s="256"/>
      <c r="C168" s="257"/>
      <c r="E168" s="304"/>
      <c r="F168" s="292"/>
      <c r="G168" s="292"/>
      <c r="H168" s="305"/>
      <c r="I168" s="292"/>
      <c r="J168" s="284"/>
      <c r="K168" s="292"/>
      <c r="L168" s="280"/>
      <c r="M168" s="280"/>
      <c r="N168" s="73"/>
      <c r="O168" s="73"/>
      <c r="P168" s="73"/>
      <c r="Q168" s="73"/>
      <c r="R168" s="73"/>
      <c r="S168" s="73"/>
      <c r="T168" s="73"/>
      <c r="U168" s="58"/>
      <c r="V168" s="58"/>
      <c r="W168" s="58"/>
      <c r="X168" s="58"/>
      <c r="Y168" s="58"/>
      <c r="Z168" s="58"/>
      <c r="AA168" s="58"/>
      <c r="AB168" s="58"/>
      <c r="AC168" s="58"/>
    </row>
    <row r="169" ht="15.75" customHeight="1">
      <c r="A169" s="255"/>
      <c r="B169" s="256"/>
      <c r="C169" s="257"/>
      <c r="E169" s="304"/>
      <c r="F169" s="292"/>
      <c r="G169" s="292"/>
      <c r="H169" s="305"/>
      <c r="I169" s="292"/>
      <c r="J169" s="284"/>
      <c r="K169" s="292"/>
      <c r="L169" s="280"/>
      <c r="M169" s="280"/>
      <c r="N169" s="73"/>
      <c r="O169" s="73"/>
      <c r="P169" s="73"/>
      <c r="Q169" s="73"/>
      <c r="R169" s="73"/>
      <c r="S169" s="73"/>
      <c r="T169" s="73"/>
      <c r="U169" s="58"/>
      <c r="V169" s="58"/>
      <c r="W169" s="58"/>
      <c r="X169" s="58"/>
      <c r="Y169" s="58"/>
      <c r="Z169" s="58"/>
      <c r="AA169" s="58"/>
      <c r="AB169" s="58"/>
      <c r="AC169" s="58"/>
    </row>
    <row r="170" ht="15.75" customHeight="1">
      <c r="A170" s="255"/>
      <c r="B170" s="256"/>
      <c r="C170" s="257"/>
      <c r="E170" s="304"/>
      <c r="F170" s="292"/>
      <c r="G170" s="292"/>
      <c r="H170" s="305"/>
      <c r="I170" s="292"/>
      <c r="J170" s="284"/>
      <c r="K170" s="292"/>
      <c r="L170" s="280"/>
      <c r="M170" s="292"/>
      <c r="N170" s="73"/>
      <c r="O170" s="73"/>
      <c r="P170" s="73"/>
      <c r="Q170" s="73"/>
      <c r="R170" s="73"/>
      <c r="S170" s="73"/>
      <c r="T170" s="73"/>
      <c r="U170" s="58"/>
      <c r="V170" s="58"/>
      <c r="W170" s="58"/>
      <c r="X170" s="58"/>
      <c r="Y170" s="58"/>
      <c r="Z170" s="58"/>
      <c r="AA170" s="58"/>
      <c r="AB170" s="58"/>
      <c r="AC170" s="58"/>
    </row>
    <row r="171" ht="15.75" customHeight="1">
      <c r="A171" s="255"/>
      <c r="B171" s="256"/>
      <c r="C171" s="257"/>
      <c r="E171" s="304"/>
      <c r="F171" s="292"/>
      <c r="G171" s="292"/>
      <c r="H171" s="305"/>
      <c r="I171" s="292"/>
      <c r="J171" s="284"/>
      <c r="K171" s="292"/>
      <c r="L171" s="280"/>
      <c r="M171" s="280"/>
      <c r="N171" s="73"/>
      <c r="O171" s="73"/>
      <c r="P171" s="73"/>
      <c r="Q171" s="73"/>
      <c r="R171" s="73"/>
      <c r="S171" s="73"/>
      <c r="T171" s="73"/>
      <c r="U171" s="58"/>
      <c r="V171" s="58"/>
      <c r="W171" s="58"/>
      <c r="X171" s="58"/>
      <c r="Y171" s="58"/>
      <c r="Z171" s="58"/>
      <c r="AA171" s="58"/>
      <c r="AB171" s="58"/>
      <c r="AC171" s="58"/>
    </row>
    <row r="172" ht="15.75" customHeight="1">
      <c r="A172" s="255"/>
      <c r="B172" s="256"/>
      <c r="C172" s="257"/>
      <c r="E172" s="304"/>
      <c r="F172" s="292"/>
      <c r="G172" s="292"/>
      <c r="H172" s="305"/>
      <c r="I172" s="292"/>
      <c r="J172" s="284"/>
      <c r="K172" s="292"/>
      <c r="L172" s="280"/>
      <c r="M172" s="280"/>
      <c r="N172" s="73"/>
      <c r="O172" s="73"/>
      <c r="P172" s="73"/>
      <c r="Q172" s="73"/>
      <c r="R172" s="73"/>
      <c r="S172" s="73"/>
      <c r="T172" s="73"/>
      <c r="U172" s="58"/>
      <c r="V172" s="58"/>
      <c r="W172" s="58"/>
      <c r="X172" s="58"/>
      <c r="Y172" s="58"/>
      <c r="Z172" s="58"/>
      <c r="AA172" s="58"/>
      <c r="AB172" s="58"/>
      <c r="AC172" s="58"/>
    </row>
    <row r="173" ht="15.75" customHeight="1">
      <c r="A173" s="255"/>
      <c r="B173" s="256"/>
      <c r="C173" s="257"/>
      <c r="D173" s="306"/>
      <c r="E173" s="304"/>
      <c r="F173" s="292"/>
      <c r="G173" s="292"/>
      <c r="H173" s="305"/>
      <c r="I173" s="292"/>
      <c r="J173" s="284"/>
      <c r="K173" s="292"/>
      <c r="L173" s="280"/>
      <c r="M173" s="280"/>
      <c r="N173" s="73"/>
      <c r="O173" s="73"/>
      <c r="P173" s="73"/>
      <c r="Q173" s="73"/>
      <c r="R173" s="73"/>
      <c r="S173" s="73"/>
      <c r="T173" s="73"/>
      <c r="U173" s="58"/>
      <c r="V173" s="58"/>
      <c r="W173" s="58"/>
      <c r="X173" s="58"/>
      <c r="Y173" s="58"/>
      <c r="Z173" s="58"/>
      <c r="AA173" s="58"/>
      <c r="AB173" s="58"/>
      <c r="AC173" s="58"/>
    </row>
    <row r="174" ht="15.75" customHeight="1">
      <c r="A174" s="255"/>
      <c r="B174" s="256"/>
      <c r="C174" s="257"/>
      <c r="D174" s="307"/>
      <c r="E174" s="304"/>
      <c r="F174" s="292"/>
      <c r="G174" s="292"/>
      <c r="H174" s="305"/>
      <c r="I174" s="292"/>
      <c r="J174" s="284"/>
      <c r="K174" s="292"/>
      <c r="L174" s="280"/>
      <c r="M174" s="280"/>
      <c r="N174" s="73"/>
      <c r="O174" s="73"/>
      <c r="P174" s="73"/>
      <c r="Q174" s="73"/>
      <c r="R174" s="73"/>
      <c r="S174" s="73"/>
      <c r="T174" s="73"/>
      <c r="U174" s="58"/>
      <c r="V174" s="58"/>
      <c r="W174" s="58"/>
      <c r="X174" s="58"/>
      <c r="Y174" s="58"/>
      <c r="Z174" s="58"/>
      <c r="AA174" s="58"/>
      <c r="AB174" s="58"/>
      <c r="AC174" s="58"/>
    </row>
    <row r="175" ht="15.75" customHeight="1">
      <c r="A175" s="255"/>
      <c r="B175" s="256"/>
      <c r="C175" s="308"/>
      <c r="D175" s="307"/>
      <c r="E175" s="304"/>
      <c r="F175" s="292"/>
      <c r="G175" s="292"/>
      <c r="H175" s="305"/>
      <c r="I175" s="292"/>
      <c r="J175" s="284"/>
      <c r="K175" s="292"/>
      <c r="L175" s="280"/>
      <c r="M175" s="280"/>
      <c r="N175" s="73"/>
      <c r="O175" s="73"/>
      <c r="P175" s="73"/>
      <c r="Q175" s="73"/>
      <c r="R175" s="73"/>
      <c r="S175" s="73"/>
      <c r="T175" s="73"/>
      <c r="U175" s="58"/>
      <c r="V175" s="58"/>
      <c r="W175" s="58"/>
      <c r="X175" s="58"/>
      <c r="Y175" s="58"/>
      <c r="Z175" s="58"/>
      <c r="AA175" s="58"/>
      <c r="AB175" s="58"/>
      <c r="AC175" s="58"/>
    </row>
    <row r="176" ht="15.75" customHeight="1">
      <c r="A176" s="255"/>
      <c r="B176" s="256"/>
      <c r="C176" s="308"/>
      <c r="D176" s="309"/>
      <c r="E176" s="304"/>
      <c r="F176" s="292"/>
      <c r="G176" s="292"/>
      <c r="H176" s="305"/>
      <c r="I176" s="292"/>
      <c r="J176" s="284"/>
      <c r="K176" s="292"/>
      <c r="L176" s="280"/>
      <c r="M176" s="280"/>
      <c r="N176" s="73"/>
      <c r="O176" s="73"/>
      <c r="P176" s="73"/>
      <c r="Q176" s="73"/>
      <c r="R176" s="73"/>
      <c r="S176" s="73"/>
      <c r="T176" s="73"/>
      <c r="U176" s="58"/>
      <c r="V176" s="58"/>
      <c r="W176" s="58"/>
      <c r="X176" s="58"/>
      <c r="Y176" s="58"/>
      <c r="Z176" s="58"/>
      <c r="AA176" s="58"/>
      <c r="AB176" s="58"/>
      <c r="AC176" s="58"/>
    </row>
    <row r="177" ht="15.75" customHeight="1">
      <c r="A177" s="255"/>
      <c r="B177" s="256"/>
      <c r="C177" s="308"/>
      <c r="D177" s="310"/>
      <c r="E177" s="311"/>
      <c r="F177" s="292"/>
      <c r="G177" s="292"/>
      <c r="H177" s="305"/>
      <c r="I177" s="292"/>
      <c r="J177" s="284"/>
      <c r="K177" s="292"/>
      <c r="L177" s="280"/>
      <c r="M177" s="280"/>
      <c r="N177" s="73"/>
      <c r="O177" s="73"/>
      <c r="P177" s="73"/>
      <c r="Q177" s="73"/>
      <c r="R177" s="73"/>
      <c r="S177" s="73"/>
      <c r="T177" s="73"/>
      <c r="U177" s="58"/>
      <c r="V177" s="58"/>
      <c r="W177" s="58"/>
      <c r="X177" s="58"/>
      <c r="Y177" s="58"/>
      <c r="Z177" s="58"/>
      <c r="AA177" s="58"/>
      <c r="AB177" s="58"/>
      <c r="AC177" s="58"/>
    </row>
    <row r="178" ht="15.75" customHeight="1">
      <c r="A178" s="255"/>
      <c r="B178" s="256"/>
      <c r="C178" s="308"/>
      <c r="D178" s="16"/>
      <c r="E178" s="311"/>
      <c r="F178" s="292"/>
      <c r="G178" s="292"/>
      <c r="H178" s="305"/>
      <c r="I178" s="292"/>
      <c r="J178" s="284"/>
      <c r="K178" s="292"/>
      <c r="L178" s="280"/>
      <c r="M178" s="280"/>
      <c r="N178" s="73"/>
      <c r="O178" s="73"/>
      <c r="P178" s="73"/>
      <c r="Q178" s="73"/>
      <c r="R178" s="73"/>
      <c r="S178" s="73"/>
      <c r="T178" s="73"/>
      <c r="U178" s="58"/>
      <c r="V178" s="58"/>
      <c r="W178" s="58"/>
      <c r="X178" s="58"/>
      <c r="Y178" s="58"/>
      <c r="Z178" s="58"/>
      <c r="AA178" s="58"/>
      <c r="AB178" s="58"/>
      <c r="AC178" s="58"/>
    </row>
    <row r="179" ht="15.75" customHeight="1">
      <c r="A179" s="255"/>
      <c r="B179" s="256"/>
      <c r="C179" s="308"/>
      <c r="D179" s="312"/>
      <c r="E179" s="304"/>
      <c r="F179" s="292"/>
      <c r="G179" s="292"/>
      <c r="H179" s="305"/>
      <c r="I179" s="292"/>
      <c r="J179" s="284"/>
      <c r="K179" s="292"/>
      <c r="L179" s="280"/>
      <c r="M179" s="280"/>
      <c r="N179" s="73"/>
      <c r="O179" s="73"/>
      <c r="P179" s="73"/>
      <c r="Q179" s="73"/>
      <c r="R179" s="73"/>
      <c r="S179" s="73"/>
      <c r="T179" s="73"/>
      <c r="U179" s="58"/>
      <c r="V179" s="58"/>
      <c r="W179" s="58"/>
      <c r="X179" s="58"/>
      <c r="Y179" s="58"/>
      <c r="Z179" s="58"/>
      <c r="AA179" s="58"/>
      <c r="AB179" s="58"/>
      <c r="AC179" s="58"/>
    </row>
    <row r="180" ht="15.75" customHeight="1">
      <c r="A180" s="255"/>
      <c r="B180" s="256"/>
      <c r="C180" s="308"/>
      <c r="D180" s="313"/>
      <c r="E180" s="304"/>
      <c r="F180" s="292"/>
      <c r="G180" s="292"/>
      <c r="H180" s="305"/>
      <c r="I180" s="292"/>
      <c r="J180" s="284"/>
      <c r="K180" s="292"/>
      <c r="L180" s="280"/>
      <c r="M180" s="280"/>
      <c r="N180" s="73"/>
      <c r="O180" s="73"/>
      <c r="P180" s="73"/>
      <c r="Q180" s="73"/>
      <c r="R180" s="73"/>
      <c r="S180" s="73"/>
      <c r="T180" s="73"/>
      <c r="U180" s="58"/>
      <c r="V180" s="58"/>
      <c r="W180" s="58"/>
      <c r="X180" s="58"/>
      <c r="Y180" s="58"/>
      <c r="Z180" s="58"/>
      <c r="AA180" s="58"/>
      <c r="AB180" s="58"/>
      <c r="AC180" s="58"/>
    </row>
    <row r="181" ht="15.75" customHeight="1">
      <c r="A181" s="255"/>
      <c r="B181" s="256"/>
      <c r="C181" s="308"/>
      <c r="D181" s="313"/>
      <c r="E181" s="304"/>
      <c r="F181" s="292"/>
      <c r="G181" s="292"/>
      <c r="H181" s="305"/>
      <c r="I181" s="292"/>
      <c r="J181" s="284"/>
      <c r="K181" s="292"/>
      <c r="L181" s="280"/>
      <c r="M181" s="280"/>
      <c r="N181" s="73"/>
      <c r="O181" s="73"/>
      <c r="P181" s="73"/>
      <c r="Q181" s="73"/>
      <c r="R181" s="73"/>
      <c r="S181" s="73"/>
      <c r="T181" s="73"/>
      <c r="U181" s="58"/>
      <c r="V181" s="58"/>
      <c r="W181" s="58"/>
      <c r="X181" s="58"/>
      <c r="Y181" s="58"/>
      <c r="Z181" s="58"/>
      <c r="AA181" s="58"/>
      <c r="AB181" s="58"/>
      <c r="AC181" s="58"/>
    </row>
    <row r="182" ht="15.75" customHeight="1">
      <c r="A182" s="255"/>
      <c r="B182" s="256"/>
      <c r="C182" s="308"/>
      <c r="D182" s="313"/>
      <c r="E182" s="304"/>
      <c r="F182" s="292"/>
      <c r="G182" s="292"/>
      <c r="H182" s="305"/>
      <c r="I182" s="292"/>
      <c r="J182" s="284"/>
      <c r="K182" s="292"/>
      <c r="L182" s="280"/>
      <c r="M182" s="280"/>
      <c r="N182" s="314"/>
      <c r="O182" s="73"/>
      <c r="P182" s="73"/>
      <c r="Q182" s="73"/>
      <c r="R182" s="73"/>
      <c r="S182" s="73"/>
      <c r="T182" s="73"/>
      <c r="U182" s="58"/>
      <c r="V182" s="58"/>
      <c r="W182" s="58"/>
      <c r="X182" s="58"/>
      <c r="Y182" s="58"/>
      <c r="Z182" s="58"/>
      <c r="AA182" s="58"/>
      <c r="AB182" s="58"/>
      <c r="AC182" s="58"/>
    </row>
    <row r="183" ht="15.75" customHeight="1">
      <c r="A183" s="255"/>
      <c r="B183" s="256"/>
      <c r="C183" s="308"/>
      <c r="D183" s="313"/>
      <c r="E183" s="304"/>
      <c r="F183" s="292"/>
      <c r="G183" s="292"/>
      <c r="H183" s="305"/>
      <c r="I183" s="292"/>
      <c r="J183" s="284"/>
      <c r="K183" s="292"/>
      <c r="L183" s="280"/>
      <c r="M183" s="280"/>
      <c r="N183" s="73"/>
      <c r="O183" s="73"/>
      <c r="P183" s="73"/>
      <c r="Q183" s="73"/>
      <c r="R183" s="73"/>
      <c r="S183" s="73"/>
      <c r="T183" s="73"/>
      <c r="U183" s="58"/>
      <c r="V183" s="58"/>
      <c r="W183" s="58"/>
      <c r="X183" s="58"/>
      <c r="Y183" s="58"/>
      <c r="Z183" s="58"/>
      <c r="AA183" s="58"/>
      <c r="AB183" s="58"/>
      <c r="AC183" s="58"/>
    </row>
    <row r="184" ht="15.75" customHeight="1">
      <c r="A184" s="255"/>
      <c r="B184" s="256"/>
      <c r="C184" s="308"/>
      <c r="D184" s="313"/>
      <c r="E184" s="304"/>
      <c r="F184" s="292"/>
      <c r="G184" s="292"/>
      <c r="H184" s="305"/>
      <c r="I184" s="292"/>
      <c r="J184" s="284"/>
      <c r="K184" s="292"/>
      <c r="L184" s="280"/>
      <c r="M184" s="280"/>
      <c r="N184" s="73"/>
      <c r="O184" s="73"/>
      <c r="P184" s="73"/>
      <c r="Q184" s="73"/>
      <c r="R184" s="73"/>
      <c r="S184" s="73"/>
      <c r="T184" s="73"/>
      <c r="U184" s="58"/>
      <c r="V184" s="58"/>
      <c r="W184" s="58"/>
      <c r="X184" s="58"/>
      <c r="Y184" s="58"/>
      <c r="Z184" s="58"/>
      <c r="AA184" s="58"/>
      <c r="AB184" s="58"/>
      <c r="AC184" s="58"/>
    </row>
    <row r="185" ht="15.75" customHeight="1">
      <c r="A185" s="255"/>
      <c r="B185" s="256"/>
      <c r="C185" s="308"/>
      <c r="D185" s="313"/>
      <c r="E185" s="304"/>
      <c r="F185" s="292"/>
      <c r="G185" s="292"/>
      <c r="H185" s="305"/>
      <c r="I185" s="292"/>
      <c r="J185" s="284"/>
      <c r="K185" s="292"/>
      <c r="L185" s="280"/>
      <c r="M185" s="315"/>
      <c r="N185" s="73"/>
      <c r="O185" s="73"/>
      <c r="P185" s="73"/>
      <c r="Q185" s="73"/>
      <c r="R185" s="73"/>
      <c r="S185" s="73"/>
      <c r="T185" s="73"/>
      <c r="U185" s="58"/>
      <c r="V185" s="58"/>
      <c r="W185" s="58"/>
      <c r="X185" s="58"/>
      <c r="Y185" s="58"/>
      <c r="Z185" s="58"/>
      <c r="AA185" s="58"/>
      <c r="AB185" s="58"/>
      <c r="AC185" s="58"/>
    </row>
    <row r="186" ht="15.75" customHeight="1">
      <c r="A186" s="255"/>
      <c r="B186" s="256"/>
      <c r="C186" s="308"/>
      <c r="D186" s="313"/>
      <c r="E186" s="304"/>
      <c r="F186" s="292"/>
      <c r="G186" s="292"/>
      <c r="H186" s="305"/>
      <c r="I186" s="292"/>
      <c r="J186" s="284"/>
      <c r="K186" s="292"/>
      <c r="L186" s="280"/>
      <c r="M186" s="280"/>
      <c r="N186" s="73"/>
      <c r="O186" s="73"/>
      <c r="P186" s="73"/>
      <c r="Q186" s="73"/>
      <c r="R186" s="73"/>
      <c r="S186" s="73"/>
      <c r="T186" s="73"/>
      <c r="U186" s="58"/>
      <c r="V186" s="58"/>
      <c r="W186" s="58"/>
      <c r="X186" s="58"/>
      <c r="Y186" s="58"/>
      <c r="Z186" s="58"/>
      <c r="AA186" s="58"/>
      <c r="AB186" s="58"/>
      <c r="AC186" s="58"/>
    </row>
    <row r="187" ht="15.75" customHeight="1">
      <c r="A187" s="255"/>
      <c r="B187" s="256"/>
      <c r="C187" s="308"/>
      <c r="D187" s="313"/>
      <c r="E187" s="304"/>
      <c r="F187" s="292"/>
      <c r="G187" s="292"/>
      <c r="H187" s="305"/>
      <c r="I187" s="292"/>
      <c r="J187" s="284"/>
      <c r="K187" s="292"/>
      <c r="L187" s="280"/>
      <c r="M187" s="280"/>
      <c r="N187" s="73"/>
      <c r="O187" s="73"/>
      <c r="P187" s="73"/>
      <c r="Q187" s="73"/>
      <c r="R187" s="73"/>
      <c r="S187" s="73"/>
      <c r="T187" s="73"/>
      <c r="U187" s="58"/>
      <c r="V187" s="58"/>
      <c r="W187" s="58"/>
      <c r="X187" s="58"/>
      <c r="Y187" s="58"/>
      <c r="Z187" s="58"/>
      <c r="AA187" s="58"/>
      <c r="AB187" s="58"/>
      <c r="AC187" s="58"/>
    </row>
    <row r="188" ht="15.75" customHeight="1">
      <c r="A188" s="255"/>
      <c r="B188" s="256"/>
      <c r="C188" s="308"/>
      <c r="D188" s="313"/>
      <c r="E188" s="304"/>
      <c r="F188" s="292"/>
      <c r="G188" s="316"/>
      <c r="H188" s="317"/>
      <c r="I188" s="316"/>
      <c r="J188" s="318"/>
      <c r="K188" s="292"/>
      <c r="L188" s="280"/>
      <c r="M188" s="280"/>
      <c r="N188" s="73"/>
      <c r="O188" s="73"/>
      <c r="P188" s="73"/>
      <c r="Q188" s="73"/>
      <c r="R188" s="73"/>
      <c r="S188" s="73"/>
      <c r="T188" s="73"/>
      <c r="U188" s="58"/>
      <c r="V188" s="58"/>
      <c r="W188" s="58"/>
      <c r="X188" s="58"/>
      <c r="Y188" s="58"/>
      <c r="Z188" s="58"/>
      <c r="AA188" s="58"/>
      <c r="AB188" s="58"/>
      <c r="AC188" s="58"/>
    </row>
    <row r="189" ht="15.75" customHeight="1">
      <c r="A189" s="255"/>
      <c r="B189" s="256"/>
      <c r="C189" s="308"/>
      <c r="D189" s="313"/>
      <c r="E189" s="304"/>
      <c r="F189" s="292"/>
      <c r="G189" s="292"/>
      <c r="H189" s="305"/>
      <c r="I189" s="292"/>
      <c r="J189" s="284"/>
      <c r="K189" s="292"/>
      <c r="L189" s="280"/>
      <c r="M189" s="275"/>
      <c r="N189" s="73"/>
      <c r="O189" s="73"/>
      <c r="P189" s="73"/>
      <c r="Q189" s="73"/>
      <c r="R189" s="73"/>
      <c r="S189" s="73"/>
      <c r="T189" s="73"/>
      <c r="U189" s="58"/>
      <c r="V189" s="58"/>
      <c r="W189" s="58"/>
      <c r="X189" s="58"/>
      <c r="Y189" s="58"/>
      <c r="Z189" s="58"/>
      <c r="AA189" s="58"/>
      <c r="AB189" s="58"/>
      <c r="AC189" s="58"/>
    </row>
    <row r="190" ht="15.75" customHeight="1">
      <c r="A190" s="255"/>
      <c r="B190" s="256"/>
      <c r="C190" s="308"/>
      <c r="D190" s="313"/>
      <c r="E190" s="304"/>
      <c r="F190" s="292"/>
      <c r="G190" s="292"/>
      <c r="H190" s="305"/>
      <c r="I190" s="292"/>
      <c r="J190" s="284"/>
      <c r="K190" s="292"/>
      <c r="L190" s="280"/>
      <c r="M190" s="280"/>
      <c r="N190" s="73"/>
      <c r="O190" s="73"/>
      <c r="P190" s="73"/>
      <c r="Q190" s="73"/>
      <c r="R190" s="73"/>
      <c r="S190" s="73"/>
      <c r="T190" s="73"/>
      <c r="U190" s="58"/>
      <c r="V190" s="58"/>
      <c r="W190" s="58"/>
      <c r="X190" s="58"/>
      <c r="Y190" s="58"/>
      <c r="Z190" s="58"/>
      <c r="AA190" s="58"/>
      <c r="AB190" s="58"/>
      <c r="AC190" s="58"/>
    </row>
    <row r="191" ht="15.75" customHeight="1">
      <c r="A191" s="255"/>
      <c r="B191" s="256"/>
      <c r="C191" s="308"/>
      <c r="D191" s="313"/>
      <c r="E191" s="304"/>
      <c r="F191" s="292"/>
      <c r="G191" s="292"/>
      <c r="H191" s="305"/>
      <c r="I191" s="292"/>
      <c r="J191" s="284"/>
      <c r="K191" s="292"/>
      <c r="L191" s="280"/>
      <c r="M191" s="280"/>
      <c r="N191" s="73"/>
      <c r="O191" s="73"/>
      <c r="P191" s="73"/>
      <c r="Q191" s="73"/>
      <c r="R191" s="73"/>
      <c r="S191" s="73"/>
      <c r="T191" s="73"/>
      <c r="U191" s="58"/>
      <c r="V191" s="58"/>
      <c r="W191" s="58"/>
      <c r="X191" s="58"/>
      <c r="Y191" s="58"/>
      <c r="Z191" s="58"/>
      <c r="AA191" s="58"/>
      <c r="AB191" s="58"/>
      <c r="AC191" s="58"/>
    </row>
    <row r="192" ht="15.75" customHeight="1">
      <c r="A192" s="255"/>
      <c r="B192" s="256"/>
      <c r="C192" s="308"/>
      <c r="D192" s="313"/>
      <c r="E192" s="304"/>
      <c r="F192" s="292"/>
      <c r="G192" s="319"/>
      <c r="H192" s="320"/>
      <c r="I192" s="319"/>
      <c r="J192" s="321"/>
      <c r="K192" s="292"/>
      <c r="L192" s="280"/>
      <c r="M192" s="280"/>
      <c r="N192" s="73"/>
      <c r="O192" s="73"/>
      <c r="P192" s="73"/>
      <c r="Q192" s="73"/>
      <c r="R192" s="73"/>
      <c r="S192" s="73"/>
      <c r="T192" s="73"/>
      <c r="U192" s="58"/>
      <c r="V192" s="58"/>
      <c r="W192" s="58"/>
      <c r="X192" s="58"/>
      <c r="Y192" s="58"/>
      <c r="Z192" s="58"/>
      <c r="AA192" s="58"/>
      <c r="AB192" s="58"/>
      <c r="AC192" s="58"/>
    </row>
    <row r="193" ht="15.75" customHeight="1">
      <c r="A193" s="255"/>
      <c r="B193" s="256"/>
      <c r="C193" s="308"/>
      <c r="D193" s="313"/>
      <c r="E193" s="304"/>
      <c r="F193" s="292"/>
      <c r="G193" s="319"/>
      <c r="H193" s="320"/>
      <c r="I193" s="319"/>
      <c r="J193" s="321"/>
      <c r="K193" s="292"/>
      <c r="L193" s="280"/>
      <c r="M193" s="280"/>
      <c r="N193" s="73"/>
      <c r="O193" s="73"/>
      <c r="P193" s="73"/>
      <c r="Q193" s="73"/>
      <c r="R193" s="73"/>
      <c r="S193" s="73"/>
      <c r="T193" s="73"/>
      <c r="U193" s="58"/>
      <c r="V193" s="58"/>
      <c r="W193" s="58"/>
      <c r="X193" s="58"/>
      <c r="Y193" s="58"/>
      <c r="Z193" s="58"/>
      <c r="AA193" s="58"/>
      <c r="AB193" s="58"/>
      <c r="AC193" s="58"/>
    </row>
    <row r="194" ht="15.75" customHeight="1">
      <c r="A194" s="255"/>
      <c r="B194" s="256"/>
      <c r="C194" s="308"/>
      <c r="D194" s="313"/>
      <c r="E194" s="304"/>
      <c r="F194" s="292"/>
      <c r="G194" s="319"/>
      <c r="H194" s="320"/>
      <c r="I194" s="319"/>
      <c r="J194" s="321"/>
      <c r="K194" s="292"/>
      <c r="L194" s="280"/>
      <c r="M194" s="314"/>
      <c r="N194" s="73"/>
      <c r="O194" s="73"/>
      <c r="P194" s="73"/>
      <c r="Q194" s="73"/>
      <c r="R194" s="73"/>
      <c r="S194" s="73"/>
      <c r="T194" s="73"/>
      <c r="U194" s="58"/>
      <c r="V194" s="58"/>
      <c r="W194" s="58"/>
      <c r="X194" s="58"/>
      <c r="Y194" s="58"/>
      <c r="Z194" s="58"/>
      <c r="AA194" s="58"/>
      <c r="AB194" s="58"/>
      <c r="AC194" s="58"/>
    </row>
    <row r="195" ht="15.75" customHeight="1">
      <c r="A195" s="255"/>
      <c r="B195" s="256"/>
      <c r="C195" s="308"/>
      <c r="D195" s="322"/>
      <c r="E195" s="323"/>
      <c r="F195" s="292"/>
      <c r="G195" s="292"/>
      <c r="H195" s="305"/>
      <c r="I195" s="292"/>
      <c r="J195" s="284"/>
      <c r="K195" s="292"/>
      <c r="L195" s="280"/>
      <c r="M195" s="280"/>
      <c r="N195" s="73"/>
      <c r="O195" s="73"/>
      <c r="P195" s="73"/>
      <c r="Q195" s="73"/>
      <c r="R195" s="73"/>
      <c r="S195" s="73"/>
      <c r="T195" s="73"/>
      <c r="U195" s="58"/>
      <c r="V195" s="58"/>
      <c r="W195" s="58"/>
      <c r="X195" s="58"/>
      <c r="Y195" s="58"/>
      <c r="Z195" s="58"/>
      <c r="AA195" s="58"/>
      <c r="AB195" s="58"/>
      <c r="AC195" s="58"/>
    </row>
    <row r="196" ht="15.75" customHeight="1">
      <c r="A196" s="255"/>
      <c r="B196" s="256"/>
      <c r="C196" s="308"/>
      <c r="D196" s="324"/>
      <c r="E196" s="304"/>
      <c r="F196" s="292"/>
      <c r="G196" s="292"/>
      <c r="H196" s="305"/>
      <c r="I196" s="292"/>
      <c r="J196" s="284"/>
      <c r="K196" s="292"/>
      <c r="L196" s="280"/>
      <c r="M196" s="280"/>
      <c r="N196" s="73"/>
      <c r="O196" s="73"/>
      <c r="P196" s="73"/>
      <c r="Q196" s="73"/>
      <c r="R196" s="73"/>
      <c r="S196" s="73"/>
      <c r="T196" s="73"/>
      <c r="U196" s="58"/>
      <c r="V196" s="58"/>
      <c r="W196" s="58"/>
      <c r="X196" s="58"/>
      <c r="Y196" s="58"/>
      <c r="Z196" s="58"/>
      <c r="AA196" s="58"/>
      <c r="AB196" s="58"/>
      <c r="AC196" s="58"/>
    </row>
    <row r="197" ht="15.75" customHeight="1">
      <c r="A197" s="255"/>
      <c r="B197" s="256"/>
      <c r="C197" s="308"/>
      <c r="D197" s="324"/>
      <c r="E197" s="304"/>
      <c r="F197" s="292"/>
      <c r="G197" s="292"/>
      <c r="H197" s="305"/>
      <c r="I197" s="292"/>
      <c r="J197" s="284"/>
      <c r="K197" s="292"/>
      <c r="L197" s="280"/>
      <c r="M197" s="280"/>
      <c r="N197" s="73"/>
      <c r="O197" s="73"/>
      <c r="P197" s="73"/>
      <c r="Q197" s="73"/>
      <c r="R197" s="73"/>
      <c r="S197" s="73"/>
      <c r="T197" s="73"/>
      <c r="U197" s="58"/>
      <c r="V197" s="58"/>
      <c r="W197" s="58"/>
      <c r="X197" s="58"/>
      <c r="Y197" s="58"/>
      <c r="Z197" s="58"/>
      <c r="AA197" s="58"/>
      <c r="AB197" s="58"/>
      <c r="AC197" s="58"/>
    </row>
    <row r="198" ht="15.75" customHeight="1">
      <c r="A198" s="255"/>
      <c r="B198" s="256"/>
      <c r="C198" s="308"/>
      <c r="D198" s="324"/>
      <c r="E198" s="304"/>
      <c r="F198" s="292"/>
      <c r="G198" s="292"/>
      <c r="H198" s="305"/>
      <c r="I198" s="292"/>
      <c r="J198" s="284"/>
      <c r="K198" s="292"/>
      <c r="L198" s="280"/>
      <c r="M198" s="280"/>
      <c r="N198" s="73"/>
      <c r="O198" s="73"/>
      <c r="P198" s="73"/>
      <c r="Q198" s="73"/>
      <c r="R198" s="73"/>
      <c r="S198" s="73"/>
      <c r="T198" s="73"/>
      <c r="U198" s="58"/>
      <c r="V198" s="58"/>
      <c r="W198" s="58"/>
      <c r="X198" s="58"/>
      <c r="Y198" s="58"/>
      <c r="Z198" s="58"/>
      <c r="AA198" s="58"/>
      <c r="AB198" s="58"/>
      <c r="AC198" s="58"/>
    </row>
    <row r="199" ht="15.75" customHeight="1">
      <c r="A199" s="255"/>
      <c r="B199" s="256"/>
      <c r="C199" s="308"/>
      <c r="D199" s="324"/>
      <c r="E199" s="325"/>
      <c r="F199" s="292"/>
      <c r="G199" s="292"/>
      <c r="H199" s="305"/>
      <c r="I199" s="292"/>
      <c r="J199" s="284"/>
      <c r="K199" s="292"/>
      <c r="L199" s="280"/>
      <c r="M199" s="280"/>
      <c r="N199" s="73"/>
      <c r="O199" s="73"/>
      <c r="P199" s="73"/>
      <c r="Q199" s="73"/>
      <c r="R199" s="73"/>
      <c r="S199" s="73"/>
      <c r="T199" s="73"/>
      <c r="U199" s="58"/>
      <c r="V199" s="58"/>
      <c r="W199" s="58"/>
      <c r="X199" s="58"/>
      <c r="Y199" s="58"/>
      <c r="Z199" s="58"/>
      <c r="AA199" s="58"/>
      <c r="AB199" s="58"/>
      <c r="AC199" s="58"/>
    </row>
    <row r="200" ht="15.75" customHeight="1">
      <c r="A200" s="255"/>
      <c r="B200" s="256"/>
      <c r="C200" s="308"/>
      <c r="D200" s="324"/>
      <c r="E200" s="325"/>
      <c r="F200" s="292"/>
      <c r="G200" s="292"/>
      <c r="H200" s="305"/>
      <c r="I200" s="292"/>
      <c r="J200" s="284"/>
      <c r="K200" s="292"/>
      <c r="L200" s="280"/>
      <c r="M200" s="280"/>
      <c r="N200" s="73"/>
      <c r="O200" s="73"/>
      <c r="P200" s="73"/>
      <c r="Q200" s="73"/>
      <c r="R200" s="73"/>
      <c r="S200" s="73"/>
      <c r="T200" s="73"/>
      <c r="U200" s="58"/>
      <c r="V200" s="58"/>
      <c r="W200" s="58"/>
      <c r="X200" s="58"/>
      <c r="Y200" s="58"/>
      <c r="Z200" s="58"/>
      <c r="AA200" s="58"/>
      <c r="AB200" s="58"/>
      <c r="AC200" s="58"/>
    </row>
    <row r="201" ht="15.75" customHeight="1">
      <c r="A201" s="255"/>
      <c r="B201" s="256"/>
      <c r="C201" s="308"/>
      <c r="D201" s="324"/>
      <c r="E201" s="325"/>
      <c r="F201" s="292"/>
      <c r="G201" s="292"/>
      <c r="H201" s="305"/>
      <c r="I201" s="292"/>
      <c r="J201" s="284"/>
      <c r="K201" s="292"/>
      <c r="L201" s="280"/>
      <c r="M201" s="280"/>
      <c r="N201" s="73"/>
      <c r="O201" s="73"/>
      <c r="P201" s="73"/>
      <c r="Q201" s="73"/>
      <c r="R201" s="73"/>
      <c r="S201" s="73"/>
      <c r="T201" s="73"/>
      <c r="U201" s="58"/>
      <c r="V201" s="58"/>
      <c r="W201" s="58"/>
      <c r="X201" s="58"/>
      <c r="Y201" s="58"/>
      <c r="Z201" s="58"/>
      <c r="AA201" s="58"/>
      <c r="AB201" s="58"/>
      <c r="AC201" s="58"/>
    </row>
    <row r="202" ht="15.75" customHeight="1">
      <c r="A202" s="255"/>
      <c r="B202" s="256"/>
      <c r="C202" s="308"/>
      <c r="D202" s="324"/>
      <c r="E202" s="325"/>
      <c r="F202" s="292"/>
      <c r="G202" s="292"/>
      <c r="H202" s="305"/>
      <c r="I202" s="292"/>
      <c r="J202" s="284"/>
      <c r="K202" s="292"/>
      <c r="L202" s="280"/>
      <c r="M202" s="280"/>
      <c r="N202" s="73"/>
      <c r="O202" s="73"/>
      <c r="P202" s="73"/>
      <c r="Q202" s="73"/>
      <c r="R202" s="73"/>
      <c r="S202" s="73"/>
      <c r="T202" s="73"/>
      <c r="U202" s="58"/>
      <c r="V202" s="58"/>
      <c r="W202" s="58"/>
      <c r="X202" s="58"/>
      <c r="Y202" s="58"/>
      <c r="Z202" s="58"/>
      <c r="AA202" s="58"/>
      <c r="AB202" s="58"/>
      <c r="AC202" s="58"/>
    </row>
    <row r="203" ht="15.75" customHeight="1">
      <c r="A203" s="255"/>
      <c r="B203" s="256"/>
      <c r="C203" s="308"/>
      <c r="D203" s="324"/>
      <c r="E203" s="304"/>
      <c r="F203" s="292"/>
      <c r="G203" s="292"/>
      <c r="H203" s="305"/>
      <c r="I203" s="292"/>
      <c r="J203" s="284"/>
      <c r="K203" s="292"/>
      <c r="L203" s="280"/>
      <c r="M203" s="280"/>
      <c r="N203" s="73"/>
      <c r="O203" s="73"/>
      <c r="P203" s="73"/>
      <c r="Q203" s="73"/>
      <c r="R203" s="73"/>
      <c r="S203" s="73"/>
      <c r="T203" s="73"/>
      <c r="U203" s="58"/>
      <c r="V203" s="58"/>
      <c r="W203" s="58"/>
      <c r="X203" s="58"/>
      <c r="Y203" s="58"/>
      <c r="Z203" s="58"/>
      <c r="AA203" s="58"/>
      <c r="AB203" s="58"/>
      <c r="AC203" s="58"/>
    </row>
    <row r="204" ht="15.75" customHeight="1">
      <c r="A204" s="255"/>
      <c r="B204" s="256"/>
      <c r="C204" s="308"/>
      <c r="D204" s="324"/>
      <c r="E204" s="304"/>
      <c r="F204" s="292"/>
      <c r="G204" s="292"/>
      <c r="H204" s="305"/>
      <c r="I204" s="292"/>
      <c r="J204" s="284"/>
      <c r="K204" s="292"/>
      <c r="L204" s="280"/>
      <c r="M204" s="280"/>
      <c r="N204" s="73"/>
      <c r="O204" s="73"/>
      <c r="P204" s="73"/>
      <c r="Q204" s="73"/>
      <c r="R204" s="73"/>
      <c r="S204" s="73"/>
      <c r="T204" s="73"/>
      <c r="U204" s="58"/>
      <c r="V204" s="58"/>
      <c r="W204" s="58"/>
      <c r="X204" s="58"/>
      <c r="Y204" s="58"/>
      <c r="Z204" s="58"/>
      <c r="AA204" s="58"/>
      <c r="AB204" s="58"/>
      <c r="AC204" s="58"/>
    </row>
    <row r="205" ht="15.75" customHeight="1">
      <c r="A205" s="255"/>
      <c r="B205" s="256"/>
      <c r="C205" s="308"/>
      <c r="D205" s="324"/>
      <c r="E205" s="304"/>
      <c r="F205" s="292"/>
      <c r="G205" s="292"/>
      <c r="H205" s="305"/>
      <c r="I205" s="292"/>
      <c r="J205" s="284"/>
      <c r="K205" s="292"/>
      <c r="L205" s="280"/>
      <c r="M205" s="280"/>
      <c r="N205" s="73"/>
      <c r="O205" s="73"/>
      <c r="P205" s="73"/>
      <c r="Q205" s="73"/>
      <c r="R205" s="73"/>
      <c r="S205" s="73"/>
      <c r="T205" s="73"/>
      <c r="U205" s="58"/>
      <c r="V205" s="58"/>
      <c r="W205" s="58"/>
      <c r="X205" s="58"/>
      <c r="Y205" s="58"/>
      <c r="Z205" s="58"/>
      <c r="AA205" s="58"/>
      <c r="AB205" s="58"/>
      <c r="AC205" s="58"/>
    </row>
    <row r="206" ht="15.75" customHeight="1">
      <c r="A206" s="255"/>
      <c r="B206" s="256"/>
      <c r="C206" s="308"/>
      <c r="D206" s="324"/>
      <c r="E206" s="304"/>
      <c r="F206" s="292"/>
      <c r="G206" s="292"/>
      <c r="H206" s="305"/>
      <c r="I206" s="292"/>
      <c r="J206" s="284"/>
      <c r="K206" s="292"/>
      <c r="L206" s="280"/>
      <c r="M206" s="280"/>
      <c r="N206" s="73"/>
      <c r="O206" s="73"/>
      <c r="P206" s="73"/>
      <c r="Q206" s="73"/>
      <c r="R206" s="73"/>
      <c r="S206" s="73"/>
      <c r="T206" s="73"/>
      <c r="U206" s="58"/>
      <c r="V206" s="58"/>
      <c r="W206" s="58"/>
      <c r="X206" s="58"/>
      <c r="Y206" s="58"/>
      <c r="Z206" s="58"/>
      <c r="AA206" s="58"/>
      <c r="AB206" s="58"/>
      <c r="AC206" s="58"/>
    </row>
    <row r="207" ht="15.75" customHeight="1">
      <c r="A207" s="255"/>
      <c r="B207" s="256"/>
      <c r="C207" s="308"/>
      <c r="D207" s="324"/>
      <c r="E207" s="323"/>
      <c r="F207" s="292"/>
      <c r="G207" s="292"/>
      <c r="H207" s="305"/>
      <c r="I207" s="292"/>
      <c r="J207" s="284"/>
      <c r="K207" s="292"/>
      <c r="L207" s="280"/>
      <c r="M207" s="280"/>
      <c r="N207" s="73"/>
      <c r="O207" s="73"/>
      <c r="P207" s="73"/>
      <c r="Q207" s="73"/>
      <c r="R207" s="73"/>
      <c r="S207" s="73"/>
      <c r="T207" s="73"/>
      <c r="U207" s="58"/>
      <c r="V207" s="58"/>
      <c r="W207" s="58"/>
      <c r="X207" s="58"/>
      <c r="Y207" s="58"/>
      <c r="Z207" s="58"/>
      <c r="AA207" s="58"/>
      <c r="AB207" s="58"/>
      <c r="AC207" s="58"/>
    </row>
    <row r="208" ht="15.75" customHeight="1">
      <c r="A208" s="255"/>
      <c r="B208" s="256"/>
      <c r="C208" s="308"/>
      <c r="D208" s="326"/>
      <c r="E208" s="304"/>
      <c r="F208" s="292"/>
      <c r="G208" s="292"/>
      <c r="H208" s="305"/>
      <c r="I208" s="292"/>
      <c r="J208" s="284"/>
      <c r="K208" s="292"/>
      <c r="L208" s="280"/>
      <c r="M208" s="280"/>
      <c r="N208" s="73"/>
      <c r="O208" s="73"/>
      <c r="P208" s="73"/>
      <c r="Q208" s="73"/>
      <c r="R208" s="73"/>
      <c r="S208" s="73"/>
      <c r="T208" s="73"/>
      <c r="U208" s="58"/>
      <c r="V208" s="58"/>
      <c r="W208" s="58"/>
      <c r="X208" s="58"/>
      <c r="Y208" s="58"/>
      <c r="Z208" s="58"/>
      <c r="AA208" s="58"/>
      <c r="AB208" s="58"/>
      <c r="AC208" s="58"/>
    </row>
    <row r="209" ht="15.75" customHeight="1">
      <c r="A209" s="255"/>
      <c r="B209" s="256"/>
      <c r="C209" s="308"/>
      <c r="D209" s="327"/>
      <c r="E209" s="323"/>
      <c r="F209" s="292"/>
      <c r="G209" s="292"/>
      <c r="H209" s="305"/>
      <c r="I209" s="292"/>
      <c r="J209" s="284"/>
      <c r="K209" s="292"/>
      <c r="L209" s="280"/>
      <c r="M209" s="280"/>
      <c r="N209" s="73"/>
      <c r="O209" s="73"/>
      <c r="P209" s="73"/>
      <c r="Q209" s="73"/>
      <c r="R209" s="73"/>
      <c r="S209" s="73"/>
      <c r="T209" s="73"/>
      <c r="U209" s="58"/>
      <c r="V209" s="58"/>
      <c r="W209" s="58"/>
      <c r="X209" s="58"/>
      <c r="Y209" s="58"/>
      <c r="Z209" s="58"/>
      <c r="AA209" s="58"/>
      <c r="AB209" s="58"/>
      <c r="AC209" s="58"/>
    </row>
    <row r="210" ht="15.75" customHeight="1">
      <c r="A210" s="255"/>
      <c r="B210" s="256"/>
      <c r="C210" s="308"/>
      <c r="D210" s="328"/>
      <c r="E210" s="304"/>
      <c r="F210" s="292"/>
      <c r="G210" s="292"/>
      <c r="H210" s="305"/>
      <c r="I210" s="292"/>
      <c r="J210" s="284"/>
      <c r="K210" s="292"/>
      <c r="L210" s="280"/>
      <c r="M210" s="329"/>
      <c r="N210" s="73"/>
      <c r="O210" s="73"/>
      <c r="P210" s="73"/>
      <c r="Q210" s="73"/>
      <c r="R210" s="73"/>
      <c r="S210" s="73"/>
      <c r="T210" s="73"/>
      <c r="U210" s="58"/>
      <c r="V210" s="58"/>
      <c r="W210" s="58"/>
      <c r="X210" s="58"/>
      <c r="Y210" s="58"/>
      <c r="Z210" s="58"/>
      <c r="AA210" s="58"/>
      <c r="AB210" s="58"/>
      <c r="AC210" s="58"/>
    </row>
    <row r="211" ht="15.75" customHeight="1">
      <c r="A211" s="255"/>
      <c r="B211" s="256"/>
      <c r="C211" s="308"/>
      <c r="D211" s="330"/>
      <c r="E211" s="304"/>
      <c r="F211" s="292"/>
      <c r="G211" s="292"/>
      <c r="H211" s="305"/>
      <c r="I211" s="292"/>
      <c r="J211" s="284"/>
      <c r="K211" s="292"/>
      <c r="L211" s="280"/>
      <c r="M211" s="331"/>
      <c r="N211" s="73"/>
      <c r="O211" s="73"/>
      <c r="P211" s="73"/>
      <c r="Q211" s="73"/>
      <c r="R211" s="73"/>
      <c r="S211" s="73"/>
      <c r="T211" s="73"/>
      <c r="U211" s="58"/>
      <c r="V211" s="58"/>
      <c r="W211" s="58"/>
      <c r="X211" s="58"/>
      <c r="Y211" s="58"/>
      <c r="Z211" s="58"/>
      <c r="AA211" s="58"/>
      <c r="AB211" s="58"/>
      <c r="AC211" s="58"/>
    </row>
    <row r="212" ht="15.75" customHeight="1">
      <c r="A212" s="255"/>
      <c r="B212" s="256"/>
      <c r="C212" s="308"/>
      <c r="D212" s="330"/>
      <c r="E212" s="304"/>
      <c r="F212" s="292"/>
      <c r="G212" s="292"/>
      <c r="H212" s="305"/>
      <c r="I212" s="292"/>
      <c r="J212" s="284"/>
      <c r="K212" s="292"/>
      <c r="L212" s="280"/>
      <c r="M212" s="331"/>
      <c r="N212" s="73"/>
      <c r="O212" s="73"/>
      <c r="P212" s="73"/>
      <c r="Q212" s="73"/>
      <c r="R212" s="73"/>
      <c r="S212" s="73"/>
      <c r="T212" s="73"/>
      <c r="U212" s="58"/>
      <c r="V212" s="58"/>
      <c r="W212" s="58"/>
      <c r="X212" s="58"/>
      <c r="Y212" s="58"/>
      <c r="Z212" s="58"/>
      <c r="AA212" s="58"/>
      <c r="AB212" s="58"/>
      <c r="AC212" s="58"/>
    </row>
    <row r="213" ht="15.75" customHeight="1">
      <c r="A213" s="255"/>
      <c r="B213" s="256"/>
      <c r="C213" s="308"/>
      <c r="D213" s="330"/>
      <c r="E213" s="325"/>
      <c r="F213" s="292"/>
      <c r="G213" s="292"/>
      <c r="H213" s="305"/>
      <c r="I213" s="292"/>
      <c r="J213" s="284"/>
      <c r="K213" s="292"/>
      <c r="L213" s="280"/>
      <c r="M213" s="331"/>
      <c r="N213" s="73"/>
      <c r="O213" s="73"/>
      <c r="P213" s="73"/>
      <c r="Q213" s="73"/>
      <c r="R213" s="73"/>
      <c r="S213" s="73"/>
      <c r="T213" s="73"/>
      <c r="U213" s="58"/>
      <c r="V213" s="58"/>
      <c r="W213" s="58"/>
      <c r="X213" s="58"/>
      <c r="Y213" s="58"/>
      <c r="Z213" s="58"/>
      <c r="AA213" s="58"/>
      <c r="AB213" s="58"/>
      <c r="AC213" s="58"/>
    </row>
    <row r="214" ht="15.75" customHeight="1">
      <c r="A214" s="255"/>
      <c r="B214" s="256"/>
      <c r="C214" s="308"/>
      <c r="D214" s="330"/>
      <c r="E214" s="325"/>
      <c r="F214" s="292"/>
      <c r="G214" s="292"/>
      <c r="H214" s="305"/>
      <c r="I214" s="292"/>
      <c r="J214" s="284"/>
      <c r="K214" s="292"/>
      <c r="L214" s="280"/>
      <c r="M214" s="331"/>
      <c r="N214" s="73"/>
      <c r="O214" s="73"/>
      <c r="P214" s="73"/>
      <c r="Q214" s="73"/>
      <c r="R214" s="73"/>
      <c r="S214" s="73"/>
      <c r="T214" s="73"/>
      <c r="U214" s="58"/>
      <c r="V214" s="58"/>
      <c r="W214" s="58"/>
      <c r="X214" s="58"/>
      <c r="Y214" s="58"/>
      <c r="Z214" s="58"/>
      <c r="AA214" s="58"/>
      <c r="AB214" s="58"/>
      <c r="AC214" s="58"/>
    </row>
    <row r="215" ht="15.75" customHeight="1">
      <c r="A215" s="255"/>
      <c r="B215" s="256"/>
      <c r="C215" s="308"/>
      <c r="D215" s="330"/>
      <c r="E215" s="325"/>
      <c r="F215" s="292"/>
      <c r="G215" s="292"/>
      <c r="H215" s="305"/>
      <c r="I215" s="292"/>
      <c r="J215" s="284"/>
      <c r="K215" s="292"/>
      <c r="L215" s="280"/>
      <c r="M215" s="331"/>
      <c r="N215" s="73"/>
      <c r="O215" s="73"/>
      <c r="P215" s="73"/>
      <c r="Q215" s="73"/>
      <c r="R215" s="73"/>
      <c r="S215" s="73"/>
      <c r="T215" s="73"/>
      <c r="U215" s="58"/>
      <c r="V215" s="58"/>
      <c r="W215" s="58"/>
      <c r="X215" s="58"/>
      <c r="Y215" s="58"/>
      <c r="Z215" s="58"/>
      <c r="AA215" s="58"/>
      <c r="AB215" s="58"/>
      <c r="AC215" s="58"/>
    </row>
    <row r="216" ht="15.75" customHeight="1">
      <c r="A216" s="255"/>
      <c r="B216" s="256"/>
      <c r="C216" s="308"/>
      <c r="D216" s="330"/>
      <c r="E216" s="325"/>
      <c r="F216" s="292"/>
      <c r="G216" s="292"/>
      <c r="H216" s="305"/>
      <c r="I216" s="292"/>
      <c r="J216" s="284"/>
      <c r="K216" s="292"/>
      <c r="L216" s="280"/>
      <c r="M216" s="331"/>
      <c r="N216" s="73"/>
      <c r="O216" s="73"/>
      <c r="P216" s="73"/>
      <c r="Q216" s="73"/>
      <c r="R216" s="73"/>
      <c r="S216" s="73"/>
      <c r="T216" s="73"/>
      <c r="U216" s="58"/>
      <c r="V216" s="58"/>
      <c r="W216" s="58"/>
      <c r="X216" s="58"/>
      <c r="Y216" s="58"/>
      <c r="Z216" s="58"/>
      <c r="AA216" s="58"/>
      <c r="AB216" s="58"/>
      <c r="AC216" s="58"/>
    </row>
    <row r="217" ht="15.75" customHeight="1">
      <c r="A217" s="255"/>
      <c r="B217" s="256"/>
      <c r="C217" s="308"/>
      <c r="D217" s="330"/>
      <c r="E217" s="304"/>
      <c r="F217" s="292"/>
      <c r="G217" s="292"/>
      <c r="H217" s="305"/>
      <c r="I217" s="292"/>
      <c r="J217" s="284"/>
      <c r="K217" s="292"/>
      <c r="L217" s="280"/>
      <c r="M217" s="27"/>
      <c r="N217" s="73"/>
      <c r="O217" s="73"/>
      <c r="P217" s="73"/>
      <c r="Q217" s="73"/>
      <c r="R217" s="73"/>
      <c r="S217" s="73"/>
      <c r="T217" s="73"/>
      <c r="U217" s="58"/>
      <c r="V217" s="58"/>
      <c r="W217" s="58"/>
      <c r="X217" s="58"/>
      <c r="Y217" s="58"/>
      <c r="Z217" s="58"/>
      <c r="AA217" s="58"/>
      <c r="AB217" s="58"/>
      <c r="AC217" s="58"/>
    </row>
    <row r="218" ht="15.75" customHeight="1">
      <c r="A218" s="255"/>
      <c r="B218" s="256"/>
      <c r="C218" s="308"/>
      <c r="D218" s="330"/>
      <c r="E218" s="304"/>
      <c r="F218" s="292"/>
      <c r="G218" s="292"/>
      <c r="H218" s="305"/>
      <c r="I218" s="292"/>
      <c r="J218" s="284"/>
      <c r="K218" s="292"/>
      <c r="L218" s="280"/>
      <c r="M218" s="280"/>
      <c r="N218" s="73"/>
      <c r="O218" s="73"/>
      <c r="P218" s="73"/>
      <c r="Q218" s="73"/>
      <c r="R218" s="73"/>
      <c r="S218" s="73"/>
      <c r="T218" s="73"/>
      <c r="U218" s="58"/>
      <c r="V218" s="58"/>
      <c r="W218" s="58"/>
      <c r="X218" s="58"/>
      <c r="Y218" s="58"/>
      <c r="Z218" s="58"/>
      <c r="AA218" s="58"/>
      <c r="AB218" s="58"/>
      <c r="AC218" s="58"/>
    </row>
    <row r="219" ht="15.75" customHeight="1">
      <c r="A219" s="255"/>
      <c r="B219" s="256"/>
      <c r="C219" s="308"/>
      <c r="D219" s="330"/>
      <c r="E219" s="304"/>
      <c r="F219" s="292"/>
      <c r="G219" s="292"/>
      <c r="H219" s="305"/>
      <c r="I219" s="292"/>
      <c r="J219" s="284"/>
      <c r="K219" s="292"/>
      <c r="L219" s="280"/>
      <c r="M219" s="280"/>
      <c r="N219" s="73"/>
      <c r="O219" s="73"/>
      <c r="P219" s="73"/>
      <c r="Q219" s="73"/>
      <c r="R219" s="73"/>
      <c r="S219" s="73"/>
      <c r="T219" s="73"/>
      <c r="U219" s="58"/>
      <c r="V219" s="58"/>
      <c r="W219" s="58"/>
      <c r="X219" s="58"/>
      <c r="Y219" s="58"/>
      <c r="Z219" s="58"/>
      <c r="AA219" s="58"/>
      <c r="AB219" s="58"/>
      <c r="AC219" s="58"/>
    </row>
    <row r="220" ht="15.75" customHeight="1">
      <c r="A220" s="255"/>
      <c r="B220" s="256"/>
      <c r="C220" s="308"/>
      <c r="D220" s="330"/>
      <c r="E220" s="304"/>
      <c r="F220" s="292"/>
      <c r="G220" s="292"/>
      <c r="H220" s="305"/>
      <c r="I220" s="292"/>
      <c r="J220" s="284"/>
      <c r="K220" s="292"/>
      <c r="L220" s="280"/>
      <c r="M220" s="280"/>
      <c r="N220" s="73"/>
      <c r="O220" s="73"/>
      <c r="P220" s="73"/>
      <c r="Q220" s="73"/>
      <c r="R220" s="73"/>
      <c r="S220" s="73"/>
      <c r="T220" s="73"/>
      <c r="U220" s="58"/>
      <c r="V220" s="58"/>
      <c r="W220" s="58"/>
      <c r="X220" s="58"/>
      <c r="Y220" s="58"/>
      <c r="Z220" s="58"/>
      <c r="AA220" s="58"/>
      <c r="AB220" s="58"/>
      <c r="AC220" s="58"/>
    </row>
    <row r="221" ht="15.75" customHeight="1">
      <c r="A221" s="332"/>
      <c r="B221" s="333"/>
      <c r="C221" s="334"/>
      <c r="D221" s="335"/>
      <c r="E221" s="323"/>
      <c r="F221" s="292"/>
      <c r="G221" s="292"/>
      <c r="H221" s="305"/>
      <c r="I221" s="292"/>
      <c r="J221" s="284"/>
      <c r="K221" s="292"/>
      <c r="L221" s="280"/>
      <c r="M221" s="280"/>
      <c r="N221" s="73"/>
      <c r="O221" s="73"/>
      <c r="P221" s="73"/>
      <c r="Q221" s="73"/>
      <c r="R221" s="73"/>
      <c r="S221" s="73"/>
      <c r="T221" s="73"/>
      <c r="U221" s="58"/>
      <c r="V221" s="58"/>
      <c r="W221" s="58"/>
      <c r="X221" s="58"/>
      <c r="Y221" s="58"/>
      <c r="Z221" s="58"/>
      <c r="AA221" s="58"/>
      <c r="AB221" s="58"/>
      <c r="AC221" s="58"/>
    </row>
    <row r="222" ht="15.75" customHeight="1">
      <c r="A222" s="336"/>
      <c r="B222" s="337"/>
      <c r="C222" s="338" t="s">
        <v>345</v>
      </c>
      <c r="D222" s="339"/>
      <c r="E222" s="304"/>
      <c r="F222" s="292"/>
      <c r="G222" s="319"/>
      <c r="H222" s="320"/>
      <c r="I222" s="319"/>
      <c r="J222" s="321"/>
      <c r="K222" s="292"/>
      <c r="L222" s="280"/>
      <c r="M222" s="280"/>
      <c r="N222" s="73"/>
      <c r="O222" s="73"/>
      <c r="P222" s="73"/>
      <c r="Q222" s="73"/>
      <c r="R222" s="73"/>
      <c r="S222" s="73"/>
      <c r="T222" s="73"/>
      <c r="U222" s="58"/>
      <c r="V222" s="58"/>
      <c r="W222" s="58"/>
      <c r="X222" s="58"/>
      <c r="Y222" s="58"/>
      <c r="Z222" s="58"/>
      <c r="AA222" s="58"/>
      <c r="AB222" s="58"/>
      <c r="AC222" s="58"/>
    </row>
    <row r="223" ht="15.75" customHeight="1">
      <c r="A223" s="336"/>
      <c r="B223" s="280"/>
      <c r="C223" s="340"/>
      <c r="D223" s="331"/>
      <c r="E223" s="304"/>
      <c r="F223" s="292"/>
      <c r="G223" s="319"/>
      <c r="H223" s="320"/>
      <c r="I223" s="319"/>
      <c r="J223" s="321"/>
      <c r="K223" s="292"/>
      <c r="L223" s="280"/>
      <c r="M223" s="280"/>
      <c r="N223" s="73"/>
      <c r="O223" s="73"/>
      <c r="P223" s="73"/>
      <c r="Q223" s="73"/>
      <c r="R223" s="73"/>
      <c r="S223" s="73"/>
      <c r="T223" s="73"/>
      <c r="U223" s="58"/>
      <c r="V223" s="58"/>
      <c r="W223" s="58"/>
      <c r="X223" s="58"/>
      <c r="Y223" s="58"/>
      <c r="Z223" s="58"/>
      <c r="AA223" s="58"/>
      <c r="AB223" s="58"/>
      <c r="AC223" s="58"/>
    </row>
    <row r="224" ht="15.75" customHeight="1">
      <c r="A224" s="336"/>
      <c r="B224" s="280"/>
      <c r="C224" s="340"/>
      <c r="D224" s="331"/>
      <c r="E224" s="304"/>
      <c r="F224" s="292"/>
      <c r="G224" s="319"/>
      <c r="H224" s="320"/>
      <c r="I224" s="319"/>
      <c r="J224" s="321"/>
      <c r="K224" s="292"/>
      <c r="L224" s="280"/>
      <c r="M224" s="280"/>
      <c r="N224" s="73"/>
      <c r="O224" s="73"/>
      <c r="P224" s="73"/>
      <c r="Q224" s="73"/>
      <c r="R224" s="73"/>
      <c r="S224" s="73"/>
      <c r="T224" s="73"/>
      <c r="U224" s="58"/>
      <c r="V224" s="58"/>
      <c r="W224" s="58"/>
      <c r="X224" s="58"/>
      <c r="Y224" s="58"/>
      <c r="Z224" s="58"/>
      <c r="AA224" s="58"/>
      <c r="AB224" s="58"/>
      <c r="AC224" s="58"/>
    </row>
    <row r="225" ht="15.75" customHeight="1">
      <c r="A225" s="336"/>
      <c r="B225" s="280"/>
      <c r="C225" s="338"/>
      <c r="D225" s="331"/>
      <c r="E225" s="304"/>
      <c r="F225" s="292"/>
      <c r="G225" s="319"/>
      <c r="H225" s="320"/>
      <c r="I225" s="319"/>
      <c r="J225" s="321"/>
      <c r="K225" s="292"/>
      <c r="L225" s="280"/>
      <c r="M225" s="280"/>
      <c r="N225" s="73"/>
      <c r="O225" s="73"/>
      <c r="P225" s="73"/>
      <c r="Q225" s="73"/>
      <c r="R225" s="73"/>
      <c r="S225" s="73"/>
      <c r="T225" s="73"/>
      <c r="U225" s="58"/>
      <c r="V225" s="58"/>
      <c r="W225" s="58"/>
      <c r="X225" s="58"/>
      <c r="Y225" s="58"/>
      <c r="Z225" s="58"/>
      <c r="AA225" s="58"/>
      <c r="AB225" s="58"/>
      <c r="AC225" s="58"/>
    </row>
    <row r="226" ht="15.75" customHeight="1">
      <c r="A226" s="336"/>
      <c r="B226" s="337"/>
      <c r="C226" s="338"/>
      <c r="D226" s="331"/>
      <c r="E226" s="304"/>
      <c r="F226" s="292"/>
      <c r="G226" s="319"/>
      <c r="H226" s="320"/>
      <c r="I226" s="319"/>
      <c r="J226" s="321"/>
      <c r="K226" s="292"/>
      <c r="L226" s="280"/>
      <c r="M226" s="280"/>
      <c r="N226" s="73"/>
      <c r="O226" s="73"/>
      <c r="P226" s="73"/>
      <c r="Q226" s="73"/>
      <c r="R226" s="73"/>
      <c r="S226" s="73"/>
      <c r="T226" s="73"/>
      <c r="U226" s="58"/>
      <c r="V226" s="58"/>
      <c r="W226" s="58"/>
      <c r="X226" s="58"/>
      <c r="Y226" s="58"/>
      <c r="Z226" s="58"/>
      <c r="AA226" s="58"/>
      <c r="AB226" s="58"/>
      <c r="AC226" s="58"/>
    </row>
    <row r="227" ht="15.75" customHeight="1">
      <c r="A227" s="336"/>
      <c r="B227" s="337"/>
      <c r="C227" s="338"/>
      <c r="D227" s="331"/>
      <c r="E227" s="304"/>
      <c r="F227" s="292"/>
      <c r="G227" s="319"/>
      <c r="H227" s="320"/>
      <c r="I227" s="319"/>
      <c r="J227" s="321"/>
      <c r="K227" s="292"/>
      <c r="L227" s="280"/>
      <c r="M227" s="280"/>
      <c r="N227" s="73"/>
      <c r="O227" s="73"/>
      <c r="P227" s="73"/>
      <c r="Q227" s="73"/>
      <c r="R227" s="73"/>
      <c r="S227" s="73"/>
      <c r="T227" s="73"/>
      <c r="U227" s="58"/>
      <c r="V227" s="58"/>
      <c r="W227" s="58"/>
      <c r="X227" s="58"/>
      <c r="Y227" s="58"/>
      <c r="Z227" s="58"/>
      <c r="AA227" s="58"/>
      <c r="AB227" s="58"/>
      <c r="AC227" s="58"/>
    </row>
    <row r="228" ht="15.75" customHeight="1">
      <c r="A228" s="336"/>
      <c r="B228" s="337"/>
      <c r="C228" s="338"/>
      <c r="D228" s="331"/>
      <c r="E228" s="304"/>
      <c r="F228" s="292"/>
      <c r="G228" s="319"/>
      <c r="H228" s="320"/>
      <c r="I228" s="319"/>
      <c r="J228" s="321"/>
      <c r="K228" s="292"/>
      <c r="L228" s="280"/>
      <c r="M228" s="280"/>
      <c r="N228" s="73"/>
      <c r="O228" s="73"/>
      <c r="P228" s="73"/>
      <c r="Q228" s="73"/>
      <c r="R228" s="73"/>
      <c r="S228" s="73"/>
      <c r="T228" s="73"/>
      <c r="U228" s="58"/>
      <c r="V228" s="58"/>
      <c r="W228" s="58"/>
      <c r="X228" s="58"/>
      <c r="Y228" s="58"/>
      <c r="Z228" s="58"/>
      <c r="AA228" s="58"/>
      <c r="AB228" s="58"/>
      <c r="AC228" s="58"/>
    </row>
    <row r="229" ht="15.75" customHeight="1">
      <c r="A229" s="336"/>
      <c r="B229" s="337"/>
      <c r="C229" s="338"/>
      <c r="D229" s="331"/>
      <c r="E229" s="304"/>
      <c r="F229" s="292"/>
      <c r="G229" s="319"/>
      <c r="H229" s="320"/>
      <c r="I229" s="319"/>
      <c r="J229" s="321"/>
      <c r="K229" s="292"/>
      <c r="L229" s="280"/>
      <c r="M229" s="280"/>
      <c r="N229" s="73"/>
      <c r="O229" s="73"/>
      <c r="P229" s="73"/>
      <c r="Q229" s="73"/>
      <c r="R229" s="73"/>
      <c r="S229" s="73"/>
      <c r="T229" s="73"/>
      <c r="U229" s="58"/>
      <c r="V229" s="58"/>
      <c r="W229" s="58"/>
      <c r="X229" s="58"/>
      <c r="Y229" s="58"/>
      <c r="Z229" s="58"/>
      <c r="AA229" s="58"/>
      <c r="AB229" s="58"/>
      <c r="AC229" s="58"/>
    </row>
    <row r="230" ht="15.75" customHeight="1">
      <c r="A230" s="336"/>
      <c r="B230" s="337"/>
      <c r="C230" s="338"/>
      <c r="D230" s="27"/>
      <c r="E230" s="304"/>
      <c r="F230" s="292"/>
      <c r="G230" s="319"/>
      <c r="H230" s="320"/>
      <c r="I230" s="319"/>
      <c r="J230" s="321"/>
      <c r="K230" s="292"/>
      <c r="L230" s="280"/>
      <c r="M230" s="280"/>
      <c r="N230" s="73"/>
      <c r="O230" s="73"/>
      <c r="P230" s="73"/>
      <c r="Q230" s="73"/>
      <c r="R230" s="73"/>
      <c r="S230" s="73"/>
      <c r="T230" s="73"/>
      <c r="U230" s="58"/>
      <c r="V230" s="58"/>
      <c r="W230" s="58"/>
      <c r="X230" s="58"/>
      <c r="Y230" s="58"/>
      <c r="Z230" s="58"/>
      <c r="AA230" s="58"/>
      <c r="AB230" s="58"/>
      <c r="AC230" s="58"/>
    </row>
    <row r="231" ht="15.75" customHeight="1">
      <c r="A231" s="336"/>
      <c r="B231" s="337"/>
      <c r="C231" s="338"/>
      <c r="D231" s="341"/>
      <c r="E231" s="304"/>
      <c r="F231" s="292"/>
      <c r="G231" s="319"/>
      <c r="H231" s="320"/>
      <c r="I231" s="319"/>
      <c r="J231" s="321"/>
      <c r="K231" s="292"/>
      <c r="L231" s="280"/>
      <c r="M231" s="292"/>
      <c r="N231" s="73"/>
      <c r="O231" s="73"/>
      <c r="P231" s="73"/>
      <c r="Q231" s="73"/>
      <c r="R231" s="73"/>
      <c r="S231" s="73"/>
      <c r="T231" s="73"/>
      <c r="U231" s="58"/>
      <c r="V231" s="58"/>
      <c r="W231" s="58"/>
      <c r="X231" s="58"/>
      <c r="Y231" s="58"/>
      <c r="Z231" s="58"/>
      <c r="AA231" s="58"/>
      <c r="AB231" s="58"/>
      <c r="AC231" s="58"/>
    </row>
    <row r="232" ht="15.75" customHeight="1">
      <c r="A232" s="336"/>
      <c r="B232" s="337"/>
      <c r="C232" s="338"/>
      <c r="D232" s="341"/>
      <c r="E232" s="304"/>
      <c r="F232" s="292"/>
      <c r="G232" s="319"/>
      <c r="H232" s="320"/>
      <c r="I232" s="319"/>
      <c r="J232" s="321"/>
      <c r="K232" s="292"/>
      <c r="L232" s="280"/>
      <c r="M232" s="280"/>
      <c r="N232" s="73"/>
      <c r="O232" s="73"/>
      <c r="P232" s="73"/>
      <c r="Q232" s="73"/>
      <c r="R232" s="73"/>
      <c r="S232" s="73"/>
      <c r="T232" s="73"/>
      <c r="U232" s="58"/>
      <c r="V232" s="58"/>
      <c r="W232" s="58"/>
      <c r="X232" s="58"/>
      <c r="Y232" s="58"/>
      <c r="Z232" s="58"/>
      <c r="AA232" s="58"/>
      <c r="AB232" s="58"/>
      <c r="AC232" s="58"/>
    </row>
    <row r="233" ht="15.75" customHeight="1">
      <c r="A233" s="336"/>
      <c r="B233" s="337"/>
      <c r="C233" s="338"/>
      <c r="D233" s="341"/>
      <c r="E233" s="304"/>
      <c r="F233" s="292"/>
      <c r="G233" s="319"/>
      <c r="H233" s="320"/>
      <c r="I233" s="319"/>
      <c r="J233" s="321"/>
      <c r="K233" s="292"/>
      <c r="L233" s="280"/>
      <c r="M233" s="280"/>
      <c r="N233" s="73"/>
      <c r="O233" s="73"/>
      <c r="P233" s="73"/>
      <c r="Q233" s="73"/>
      <c r="R233" s="73"/>
      <c r="S233" s="73"/>
      <c r="T233" s="73"/>
      <c r="U233" s="58"/>
      <c r="V233" s="58"/>
      <c r="W233" s="58"/>
      <c r="X233" s="58"/>
      <c r="Y233" s="58"/>
      <c r="Z233" s="58"/>
      <c r="AA233" s="58"/>
      <c r="AB233" s="58"/>
      <c r="AC233" s="58"/>
    </row>
    <row r="234" ht="15.75" customHeight="1">
      <c r="A234" s="336"/>
      <c r="B234" s="337"/>
      <c r="C234" s="338"/>
      <c r="D234" s="341"/>
      <c r="E234" s="304"/>
      <c r="F234" s="292"/>
      <c r="G234" s="319"/>
      <c r="H234" s="320"/>
      <c r="I234" s="319"/>
      <c r="J234" s="321"/>
      <c r="K234" s="292"/>
      <c r="L234" s="280"/>
      <c r="M234" s="280"/>
      <c r="N234" s="73"/>
      <c r="O234" s="73"/>
      <c r="P234" s="73"/>
      <c r="Q234" s="73"/>
      <c r="R234" s="73"/>
      <c r="S234" s="73"/>
      <c r="T234" s="73"/>
      <c r="U234" s="58"/>
      <c r="V234" s="58"/>
      <c r="W234" s="58"/>
      <c r="X234" s="58"/>
      <c r="Y234" s="58"/>
      <c r="Z234" s="58"/>
      <c r="AA234" s="58"/>
      <c r="AB234" s="58"/>
      <c r="AC234" s="58"/>
    </row>
    <row r="235" ht="15.75" customHeight="1">
      <c r="A235" s="336"/>
      <c r="B235" s="337"/>
      <c r="C235" s="338"/>
      <c r="D235" s="341"/>
      <c r="E235" s="304"/>
      <c r="F235" s="292"/>
      <c r="G235" s="319"/>
      <c r="H235" s="320"/>
      <c r="I235" s="319"/>
      <c r="J235" s="321"/>
      <c r="K235" s="292"/>
      <c r="L235" s="280"/>
      <c r="M235" s="280"/>
      <c r="N235" s="73"/>
      <c r="O235" s="73"/>
      <c r="P235" s="73"/>
      <c r="Q235" s="73"/>
      <c r="R235" s="73"/>
      <c r="S235" s="73"/>
      <c r="T235" s="73"/>
      <c r="U235" s="58"/>
      <c r="V235" s="58"/>
      <c r="W235" s="58"/>
      <c r="X235" s="58"/>
      <c r="Y235" s="58"/>
      <c r="Z235" s="58"/>
      <c r="AA235" s="58"/>
      <c r="AB235" s="58"/>
      <c r="AC235" s="58"/>
    </row>
    <row r="236" ht="15.75" customHeight="1">
      <c r="A236" s="336"/>
      <c r="B236" s="337"/>
      <c r="C236" s="338"/>
      <c r="D236" s="341"/>
      <c r="E236" s="304"/>
      <c r="F236" s="292"/>
      <c r="G236" s="319"/>
      <c r="H236" s="320"/>
      <c r="I236" s="319"/>
      <c r="J236" s="321"/>
      <c r="K236" s="292"/>
      <c r="L236" s="280"/>
      <c r="M236" s="280"/>
      <c r="N236" s="73"/>
      <c r="O236" s="73"/>
      <c r="P236" s="73"/>
      <c r="Q236" s="73"/>
      <c r="R236" s="73"/>
      <c r="S236" s="73"/>
      <c r="T236" s="73"/>
      <c r="U236" s="58"/>
      <c r="V236" s="58"/>
      <c r="W236" s="58"/>
      <c r="X236" s="58"/>
      <c r="Y236" s="58"/>
      <c r="Z236" s="58"/>
      <c r="AA236" s="58"/>
      <c r="AB236" s="58"/>
      <c r="AC236" s="58"/>
    </row>
    <row r="237" ht="15.75" customHeight="1">
      <c r="A237" s="336"/>
      <c r="B237" s="337"/>
      <c r="C237" s="338"/>
      <c r="D237" s="341"/>
      <c r="E237" s="304"/>
      <c r="F237" s="292"/>
      <c r="G237" s="319"/>
      <c r="H237" s="320"/>
      <c r="I237" s="319"/>
      <c r="J237" s="321"/>
      <c r="K237" s="292"/>
      <c r="L237" s="280"/>
      <c r="M237" s="292"/>
      <c r="N237" s="73"/>
      <c r="O237" s="73"/>
      <c r="P237" s="73"/>
      <c r="Q237" s="73"/>
      <c r="R237" s="73"/>
      <c r="S237" s="73"/>
      <c r="T237" s="73"/>
      <c r="U237" s="58"/>
      <c r="V237" s="58"/>
      <c r="W237" s="58"/>
      <c r="X237" s="58"/>
      <c r="Y237" s="58"/>
      <c r="Z237" s="58"/>
      <c r="AA237" s="58"/>
      <c r="AB237" s="58"/>
      <c r="AC237" s="58"/>
    </row>
    <row r="238" ht="15.75" customHeight="1">
      <c r="A238" s="336"/>
      <c r="B238" s="337"/>
      <c r="C238" s="338"/>
      <c r="D238" s="341"/>
      <c r="E238" s="304"/>
      <c r="F238" s="292"/>
      <c r="G238" s="319"/>
      <c r="H238" s="320"/>
      <c r="I238" s="319"/>
      <c r="J238" s="321"/>
      <c r="K238" s="292"/>
      <c r="L238" s="280"/>
      <c r="M238" s="292"/>
      <c r="N238" s="73"/>
      <c r="O238" s="73"/>
      <c r="P238" s="73"/>
      <c r="Q238" s="73"/>
      <c r="R238" s="73"/>
      <c r="S238" s="73"/>
      <c r="T238" s="73"/>
      <c r="U238" s="58"/>
      <c r="V238" s="58"/>
      <c r="W238" s="58"/>
      <c r="X238" s="58"/>
      <c r="Y238" s="58"/>
      <c r="Z238" s="58"/>
      <c r="AA238" s="58"/>
      <c r="AB238" s="58"/>
      <c r="AC238" s="58"/>
    </row>
    <row r="239" ht="15.75" customHeight="1">
      <c r="A239" s="336"/>
      <c r="B239" s="337"/>
      <c r="C239" s="338"/>
      <c r="D239" s="341"/>
      <c r="E239" s="325"/>
      <c r="F239" s="292"/>
      <c r="G239" s="319"/>
      <c r="H239" s="320"/>
      <c r="I239" s="319"/>
      <c r="J239" s="321"/>
      <c r="K239" s="292"/>
      <c r="L239" s="280"/>
      <c r="M239" s="292"/>
      <c r="N239" s="73"/>
      <c r="O239" s="73"/>
      <c r="P239" s="73"/>
      <c r="Q239" s="73"/>
      <c r="R239" s="73"/>
      <c r="S239" s="73"/>
      <c r="T239" s="73"/>
      <c r="U239" s="58"/>
      <c r="V239" s="58"/>
      <c r="W239" s="58"/>
      <c r="X239" s="58"/>
      <c r="Y239" s="58"/>
      <c r="Z239" s="58"/>
      <c r="AA239" s="58"/>
      <c r="AB239" s="58"/>
      <c r="AC239" s="58"/>
    </row>
    <row r="240" ht="15.75" customHeight="1">
      <c r="A240" s="336"/>
      <c r="B240" s="337"/>
      <c r="C240" s="338"/>
      <c r="D240" s="341"/>
      <c r="E240" s="325"/>
      <c r="F240" s="292"/>
      <c r="G240" s="319"/>
      <c r="H240" s="320"/>
      <c r="I240" s="319"/>
      <c r="J240" s="321"/>
      <c r="K240" s="292"/>
      <c r="L240" s="280"/>
      <c r="M240" s="292"/>
      <c r="N240" s="73"/>
      <c r="O240" s="73"/>
      <c r="P240" s="73"/>
      <c r="Q240" s="73"/>
      <c r="R240" s="73"/>
      <c r="S240" s="73"/>
      <c r="T240" s="73"/>
      <c r="U240" s="58"/>
      <c r="V240" s="58"/>
      <c r="W240" s="58"/>
      <c r="X240" s="58"/>
      <c r="Y240" s="58"/>
      <c r="Z240" s="58"/>
      <c r="AA240" s="58"/>
      <c r="AB240" s="58"/>
      <c r="AC240" s="58"/>
    </row>
    <row r="241" ht="15.75" customHeight="1">
      <c r="A241" s="336"/>
      <c r="B241" s="337"/>
      <c r="C241" s="338"/>
      <c r="D241" s="341"/>
      <c r="E241" s="325"/>
      <c r="F241" s="292"/>
      <c r="G241" s="319"/>
      <c r="H241" s="320"/>
      <c r="I241" s="319"/>
      <c r="J241" s="321"/>
      <c r="K241" s="292"/>
      <c r="L241" s="280"/>
      <c r="M241" s="292"/>
      <c r="N241" s="73"/>
      <c r="O241" s="73"/>
      <c r="P241" s="73"/>
      <c r="Q241" s="73"/>
      <c r="R241" s="73"/>
      <c r="S241" s="73"/>
      <c r="T241" s="73"/>
      <c r="U241" s="58"/>
      <c r="V241" s="58"/>
      <c r="W241" s="58"/>
      <c r="X241" s="58"/>
      <c r="Y241" s="58"/>
      <c r="Z241" s="58"/>
      <c r="AA241" s="58"/>
      <c r="AB241" s="58"/>
      <c r="AC241" s="58"/>
    </row>
    <row r="242" ht="15.75" customHeight="1">
      <c r="A242" s="336"/>
      <c r="B242" s="337"/>
      <c r="C242" s="338"/>
      <c r="D242" s="341"/>
      <c r="E242" s="304"/>
      <c r="F242" s="292"/>
      <c r="G242" s="319"/>
      <c r="H242" s="320"/>
      <c r="I242" s="319"/>
      <c r="J242" s="321"/>
      <c r="K242" s="292"/>
      <c r="L242" s="280"/>
      <c r="M242" s="280"/>
      <c r="N242" s="73"/>
      <c r="O242" s="73"/>
      <c r="P242" s="73"/>
      <c r="Q242" s="73"/>
      <c r="R242" s="73"/>
      <c r="S242" s="73"/>
      <c r="T242" s="73"/>
      <c r="U242" s="58"/>
      <c r="V242" s="58"/>
      <c r="W242" s="58"/>
      <c r="X242" s="58"/>
      <c r="Y242" s="58"/>
      <c r="Z242" s="58"/>
      <c r="AA242" s="58"/>
      <c r="AB242" s="58"/>
      <c r="AC242" s="58"/>
    </row>
    <row r="243" ht="15.75" customHeight="1">
      <c r="A243" s="336"/>
      <c r="B243" s="337"/>
      <c r="C243" s="338"/>
      <c r="D243" s="341"/>
      <c r="E243" s="304"/>
      <c r="F243" s="292"/>
      <c r="G243" s="319"/>
      <c r="H243" s="320"/>
      <c r="I243" s="319"/>
      <c r="J243" s="321"/>
      <c r="K243" s="292"/>
      <c r="L243" s="280"/>
      <c r="M243" s="280"/>
      <c r="N243" s="73"/>
      <c r="O243" s="73"/>
      <c r="P243" s="73"/>
      <c r="Q243" s="73"/>
      <c r="R243" s="73"/>
      <c r="S243" s="73"/>
      <c r="T243" s="73"/>
      <c r="U243" s="58"/>
      <c r="V243" s="58"/>
      <c r="W243" s="58"/>
      <c r="X243" s="58"/>
      <c r="Y243" s="58"/>
      <c r="Z243" s="58"/>
      <c r="AA243" s="58"/>
      <c r="AB243" s="58"/>
      <c r="AC243" s="58"/>
    </row>
    <row r="244" ht="15.75" customHeight="1">
      <c r="A244" s="336"/>
      <c r="B244" s="337"/>
      <c r="C244" s="338"/>
      <c r="D244" s="341"/>
      <c r="E244" s="304"/>
      <c r="F244" s="292"/>
      <c r="G244" s="319"/>
      <c r="H244" s="320"/>
      <c r="I244" s="319"/>
      <c r="J244" s="321"/>
      <c r="K244" s="292"/>
      <c r="L244" s="280"/>
      <c r="M244" s="280"/>
      <c r="N244" s="73"/>
      <c r="O244" s="73"/>
      <c r="P244" s="73"/>
      <c r="Q244" s="73"/>
      <c r="R244" s="73"/>
      <c r="S244" s="73"/>
      <c r="T244" s="73"/>
      <c r="U244" s="58"/>
      <c r="V244" s="58"/>
      <c r="W244" s="58"/>
      <c r="X244" s="58"/>
      <c r="Y244" s="58"/>
      <c r="Z244" s="58"/>
      <c r="AA244" s="58"/>
      <c r="AB244" s="58"/>
      <c r="AC244" s="58"/>
    </row>
    <row r="245" ht="15.75" customHeight="1">
      <c r="A245" s="336"/>
      <c r="B245" s="337"/>
      <c r="C245" s="338"/>
      <c r="D245" s="341"/>
      <c r="E245" s="304"/>
      <c r="F245" s="292"/>
      <c r="G245" s="319"/>
      <c r="H245" s="320"/>
      <c r="I245" s="319"/>
      <c r="J245" s="321"/>
      <c r="K245" s="292"/>
      <c r="L245" s="280"/>
      <c r="M245" s="292"/>
      <c r="N245" s="73"/>
      <c r="O245" s="73"/>
      <c r="P245" s="73"/>
      <c r="Q245" s="73"/>
      <c r="R245" s="73"/>
      <c r="S245" s="73"/>
      <c r="T245" s="73"/>
      <c r="U245" s="58"/>
      <c r="V245" s="58"/>
      <c r="W245" s="58"/>
      <c r="X245" s="58"/>
      <c r="Y245" s="58"/>
      <c r="Z245" s="58"/>
      <c r="AA245" s="58"/>
      <c r="AB245" s="58"/>
      <c r="AC245" s="58"/>
    </row>
    <row r="246" ht="15.75" customHeight="1">
      <c r="A246" s="336"/>
      <c r="B246" s="342"/>
      <c r="C246" s="343"/>
      <c r="D246" s="344"/>
      <c r="E246" s="325"/>
      <c r="F246" s="292"/>
      <c r="G246" s="319"/>
      <c r="H246" s="320"/>
      <c r="I246" s="319"/>
      <c r="J246" s="321"/>
      <c r="K246" s="292"/>
      <c r="L246" s="280"/>
      <c r="M246" s="292"/>
      <c r="N246" s="73"/>
      <c r="O246" s="73"/>
      <c r="P246" s="73"/>
      <c r="Q246" s="73"/>
      <c r="R246" s="73"/>
      <c r="S246" s="73"/>
      <c r="T246" s="73"/>
      <c r="U246" s="58"/>
      <c r="V246" s="58"/>
      <c r="W246" s="58"/>
      <c r="X246" s="58"/>
      <c r="Y246" s="58"/>
      <c r="Z246" s="58"/>
      <c r="AA246" s="58"/>
      <c r="AB246" s="58"/>
      <c r="AC246" s="58"/>
    </row>
    <row r="247" ht="15.75" customHeight="1">
      <c r="A247" s="336"/>
      <c r="B247" s="337"/>
      <c r="C247" s="338"/>
      <c r="D247" s="338"/>
      <c r="E247" s="304"/>
      <c r="F247" s="292"/>
      <c r="G247" s="319"/>
      <c r="H247" s="320"/>
      <c r="I247" s="319"/>
      <c r="J247" s="321"/>
      <c r="K247" s="292"/>
      <c r="L247" s="280"/>
      <c r="M247" s="280"/>
      <c r="N247" s="73"/>
      <c r="O247" s="73"/>
      <c r="P247" s="73"/>
      <c r="Q247" s="73"/>
      <c r="R247" s="73"/>
      <c r="S247" s="73"/>
      <c r="T247" s="73"/>
      <c r="U247" s="58"/>
      <c r="V247" s="58"/>
      <c r="W247" s="58"/>
      <c r="X247" s="58"/>
      <c r="Y247" s="58"/>
      <c r="Z247" s="58"/>
      <c r="AA247" s="58"/>
      <c r="AB247" s="58"/>
      <c r="AC247" s="58"/>
    </row>
    <row r="248" ht="15.75" customHeight="1">
      <c r="A248" s="336"/>
      <c r="B248" s="337"/>
      <c r="C248" s="338"/>
      <c r="D248" s="338"/>
      <c r="E248" s="304"/>
      <c r="F248" s="292"/>
      <c r="G248" s="319"/>
      <c r="H248" s="320"/>
      <c r="I248" s="319"/>
      <c r="J248" s="321"/>
      <c r="K248" s="292"/>
      <c r="L248" s="280"/>
      <c r="M248" s="280"/>
      <c r="N248" s="73"/>
      <c r="O248" s="73"/>
      <c r="P248" s="73"/>
      <c r="Q248" s="73"/>
      <c r="R248" s="73"/>
      <c r="S248" s="73"/>
      <c r="T248" s="73"/>
      <c r="U248" s="58"/>
      <c r="V248" s="58"/>
      <c r="W248" s="58"/>
      <c r="X248" s="58"/>
      <c r="Y248" s="58"/>
      <c r="Z248" s="58"/>
      <c r="AA248" s="58"/>
      <c r="AB248" s="58"/>
      <c r="AC248" s="58"/>
    </row>
    <row r="249" ht="15.75" customHeight="1">
      <c r="A249" s="336"/>
      <c r="B249" s="337"/>
      <c r="C249" s="338"/>
      <c r="D249" s="338"/>
      <c r="E249" s="304"/>
      <c r="F249" s="292"/>
      <c r="G249" s="319"/>
      <c r="H249" s="320"/>
      <c r="I249" s="319"/>
      <c r="J249" s="321"/>
      <c r="K249" s="292"/>
      <c r="L249" s="280"/>
      <c r="M249" s="280"/>
      <c r="N249" s="73"/>
      <c r="O249" s="73"/>
      <c r="P249" s="73"/>
      <c r="Q249" s="73"/>
      <c r="R249" s="73"/>
      <c r="S249" s="73"/>
      <c r="T249" s="73"/>
      <c r="U249" s="58"/>
      <c r="V249" s="58"/>
      <c r="W249" s="58"/>
      <c r="X249" s="58"/>
      <c r="Y249" s="58"/>
      <c r="Z249" s="58"/>
      <c r="AA249" s="58"/>
      <c r="AB249" s="58"/>
      <c r="AC249" s="58"/>
    </row>
    <row r="250" ht="15.75" customHeight="1">
      <c r="A250" s="336"/>
      <c r="B250" s="337"/>
      <c r="C250" s="338"/>
      <c r="D250" s="338"/>
      <c r="E250" s="304"/>
      <c r="F250" s="292"/>
      <c r="G250" s="319"/>
      <c r="H250" s="320"/>
      <c r="I250" s="319"/>
      <c r="J250" s="321"/>
      <c r="K250" s="319"/>
      <c r="L250" s="280"/>
      <c r="M250" s="280"/>
      <c r="N250" s="73"/>
      <c r="O250" s="73"/>
      <c r="P250" s="73"/>
      <c r="Q250" s="73"/>
      <c r="R250" s="73"/>
      <c r="S250" s="73"/>
      <c r="T250" s="73"/>
      <c r="U250" s="58"/>
      <c r="V250" s="58"/>
      <c r="W250" s="58"/>
      <c r="X250" s="58"/>
      <c r="Y250" s="58"/>
      <c r="Z250" s="58"/>
      <c r="AA250" s="58"/>
      <c r="AB250" s="58"/>
      <c r="AC250" s="58"/>
    </row>
    <row r="251" ht="15.75" customHeight="1">
      <c r="A251" s="336"/>
      <c r="B251" s="337"/>
      <c r="C251" s="338"/>
      <c r="D251" s="343"/>
      <c r="E251" s="304"/>
      <c r="F251" s="292"/>
      <c r="G251" s="319"/>
      <c r="H251" s="320"/>
      <c r="I251" s="319"/>
      <c r="J251" s="321"/>
      <c r="K251" s="319"/>
      <c r="L251" s="280"/>
      <c r="M251" s="280"/>
      <c r="N251" s="73"/>
      <c r="O251" s="73"/>
      <c r="P251" s="73"/>
      <c r="Q251" s="73"/>
      <c r="R251" s="73"/>
      <c r="S251" s="73"/>
      <c r="T251" s="73"/>
      <c r="U251" s="58"/>
      <c r="V251" s="58"/>
      <c r="W251" s="58"/>
      <c r="X251" s="58"/>
      <c r="Y251" s="58"/>
      <c r="Z251" s="58"/>
      <c r="AA251" s="58"/>
      <c r="AB251" s="58"/>
      <c r="AC251" s="58"/>
    </row>
    <row r="252" ht="15.75" customHeight="1">
      <c r="A252" s="336"/>
      <c r="B252" s="337"/>
      <c r="C252" s="338"/>
      <c r="D252" s="344"/>
      <c r="E252" s="304"/>
      <c r="F252" s="292"/>
      <c r="G252" s="319"/>
      <c r="H252" s="320"/>
      <c r="I252" s="319"/>
      <c r="J252" s="321"/>
      <c r="K252" s="319"/>
      <c r="L252" s="280"/>
      <c r="M252" s="280"/>
      <c r="N252" s="73"/>
      <c r="O252" s="73"/>
      <c r="P252" s="73"/>
      <c r="Q252" s="73"/>
      <c r="R252" s="73"/>
      <c r="S252" s="73"/>
      <c r="T252" s="73"/>
      <c r="U252" s="58"/>
      <c r="V252" s="58"/>
      <c r="W252" s="58"/>
      <c r="X252" s="58"/>
      <c r="Y252" s="58"/>
      <c r="Z252" s="58"/>
      <c r="AA252" s="58"/>
      <c r="AB252" s="58"/>
      <c r="AC252" s="58"/>
    </row>
    <row r="253" ht="15.75" customHeight="1">
      <c r="A253" s="336"/>
      <c r="B253" s="337"/>
      <c r="C253" s="338"/>
      <c r="D253" s="344"/>
      <c r="E253" s="304"/>
      <c r="F253" s="292"/>
      <c r="G253" s="319"/>
      <c r="H253" s="320"/>
      <c r="I253" s="319"/>
      <c r="J253" s="321"/>
      <c r="K253" s="319"/>
      <c r="L253" s="280"/>
      <c r="M253" s="280"/>
      <c r="N253" s="73"/>
      <c r="O253" s="73"/>
      <c r="P253" s="73"/>
      <c r="Q253" s="73"/>
      <c r="R253" s="73"/>
      <c r="S253" s="73"/>
      <c r="T253" s="73"/>
      <c r="U253" s="58"/>
      <c r="V253" s="58"/>
      <c r="W253" s="58"/>
      <c r="X253" s="58"/>
      <c r="Y253" s="58"/>
      <c r="Z253" s="58"/>
      <c r="AA253" s="58"/>
      <c r="AB253" s="58"/>
      <c r="AC253" s="58"/>
    </row>
    <row r="254" ht="19.5" customHeight="1">
      <c r="A254" s="336"/>
      <c r="B254" s="337"/>
      <c r="C254" s="338"/>
      <c r="D254" s="334"/>
      <c r="E254" s="304"/>
      <c r="F254" s="292"/>
      <c r="G254" s="319"/>
      <c r="H254" s="320"/>
      <c r="I254" s="319"/>
      <c r="J254" s="321"/>
      <c r="K254" s="319"/>
      <c r="L254" s="280"/>
      <c r="M254" s="280"/>
      <c r="N254" s="73"/>
      <c r="O254" s="73"/>
      <c r="P254" s="73"/>
      <c r="Q254" s="73"/>
      <c r="R254" s="73"/>
      <c r="S254" s="73"/>
      <c r="T254" s="73"/>
      <c r="U254" s="58"/>
      <c r="V254" s="58"/>
      <c r="W254" s="58"/>
      <c r="X254" s="58"/>
      <c r="Y254" s="58"/>
      <c r="Z254" s="58"/>
      <c r="AA254" s="58"/>
      <c r="AB254" s="58"/>
      <c r="AC254" s="58"/>
    </row>
    <row r="255" ht="15.75" customHeight="1">
      <c r="A255" s="336"/>
      <c r="B255" s="337"/>
      <c r="C255" s="338"/>
      <c r="D255" s="338"/>
      <c r="E255" s="304"/>
      <c r="F255" s="292"/>
      <c r="G255" s="319"/>
      <c r="H255" s="320"/>
      <c r="I255" s="319"/>
      <c r="J255" s="321"/>
      <c r="K255" s="319"/>
      <c r="L255" s="280"/>
      <c r="M255" s="280"/>
      <c r="N255" s="73"/>
      <c r="O255" s="73"/>
      <c r="P255" s="73"/>
      <c r="Q255" s="73"/>
      <c r="R255" s="73"/>
      <c r="S255" s="73"/>
      <c r="T255" s="73"/>
      <c r="U255" s="58"/>
      <c r="V255" s="58"/>
      <c r="W255" s="58"/>
      <c r="X255" s="58"/>
      <c r="Y255" s="58"/>
      <c r="Z255" s="58"/>
      <c r="AA255" s="58"/>
      <c r="AB255" s="58"/>
      <c r="AC255" s="58"/>
    </row>
    <row r="256" ht="15.75" customHeight="1">
      <c r="A256" s="336"/>
      <c r="B256" s="337"/>
      <c r="C256" s="338"/>
      <c r="D256" s="341"/>
      <c r="E256" s="288"/>
      <c r="F256" s="292"/>
      <c r="G256" s="292"/>
      <c r="H256" s="305"/>
      <c r="I256" s="292"/>
      <c r="J256" s="284"/>
      <c r="K256" s="292"/>
      <c r="L256" s="280"/>
      <c r="M256" s="280"/>
      <c r="N256" s="73"/>
      <c r="O256" s="73"/>
      <c r="P256" s="73"/>
      <c r="Q256" s="73"/>
      <c r="R256" s="73"/>
      <c r="S256" s="73"/>
      <c r="T256" s="73"/>
      <c r="U256" s="58"/>
      <c r="V256" s="58"/>
      <c r="W256" s="58"/>
      <c r="X256" s="58"/>
      <c r="Y256" s="58"/>
      <c r="Z256" s="58"/>
      <c r="AA256" s="58"/>
      <c r="AB256" s="58"/>
      <c r="AC256" s="58"/>
    </row>
    <row r="257" ht="15.75" customHeight="1">
      <c r="A257" s="336"/>
      <c r="B257" s="337"/>
      <c r="C257" s="338"/>
      <c r="D257" s="341"/>
      <c r="E257" s="345"/>
      <c r="F257" s="346"/>
      <c r="G257" s="346"/>
      <c r="H257" s="347"/>
      <c r="I257" s="346"/>
      <c r="J257" s="348"/>
      <c r="K257" s="292"/>
      <c r="L257" s="280"/>
      <c r="M257" s="280"/>
      <c r="N257" s="73"/>
      <c r="O257" s="73"/>
      <c r="P257" s="73"/>
      <c r="Q257" s="73"/>
      <c r="R257" s="73"/>
      <c r="S257" s="73"/>
      <c r="T257" s="73"/>
      <c r="U257" s="58"/>
      <c r="V257" s="58"/>
      <c r="W257" s="58"/>
      <c r="X257" s="58"/>
      <c r="Y257" s="58"/>
      <c r="Z257" s="58"/>
      <c r="AA257" s="58"/>
      <c r="AB257" s="58"/>
      <c r="AC257" s="58"/>
    </row>
    <row r="258" ht="15.75" customHeight="1">
      <c r="A258" s="336"/>
      <c r="B258" s="337"/>
      <c r="C258" s="338"/>
      <c r="D258" s="341"/>
      <c r="E258" s="345"/>
      <c r="F258" s="346"/>
      <c r="G258" s="346"/>
      <c r="H258" s="347"/>
      <c r="I258" s="346"/>
      <c r="J258" s="348"/>
      <c r="K258" s="292"/>
      <c r="L258" s="280"/>
      <c r="M258" s="349"/>
      <c r="N258" s="73"/>
      <c r="O258" s="73"/>
      <c r="P258" s="73"/>
      <c r="Q258" s="73"/>
      <c r="R258" s="73"/>
      <c r="S258" s="73"/>
      <c r="T258" s="73"/>
      <c r="U258" s="58"/>
      <c r="V258" s="58"/>
      <c r="W258" s="58"/>
      <c r="X258" s="58"/>
      <c r="Y258" s="58"/>
      <c r="Z258" s="58"/>
      <c r="AA258" s="58"/>
      <c r="AB258" s="58"/>
      <c r="AC258" s="58"/>
    </row>
    <row r="259" ht="15.75" customHeight="1">
      <c r="A259" s="336"/>
      <c r="B259" s="337"/>
      <c r="C259" s="338"/>
      <c r="D259" s="341"/>
      <c r="E259" s="345"/>
      <c r="F259" s="346"/>
      <c r="G259" s="346"/>
      <c r="H259" s="347"/>
      <c r="I259" s="346"/>
      <c r="J259" s="348"/>
      <c r="K259" s="292"/>
      <c r="L259" s="280"/>
      <c r="M259" s="349"/>
      <c r="N259" s="73"/>
      <c r="O259" s="73"/>
      <c r="P259" s="73"/>
      <c r="Q259" s="73"/>
      <c r="R259" s="73"/>
      <c r="S259" s="73"/>
      <c r="T259" s="73"/>
      <c r="U259" s="58"/>
      <c r="V259" s="58"/>
      <c r="W259" s="58"/>
      <c r="X259" s="58"/>
      <c r="Y259" s="58"/>
      <c r="Z259" s="58"/>
      <c r="AA259" s="58"/>
      <c r="AB259" s="58"/>
      <c r="AC259" s="58"/>
    </row>
    <row r="260" ht="15.75" customHeight="1">
      <c r="A260" s="336"/>
      <c r="B260" s="337"/>
      <c r="C260" s="338"/>
      <c r="D260" s="341"/>
      <c r="E260" s="345"/>
      <c r="F260" s="346"/>
      <c r="G260" s="346" t="s">
        <v>346</v>
      </c>
      <c r="H260" s="347"/>
      <c r="I260" s="346"/>
      <c r="J260" s="348"/>
      <c r="K260" s="292"/>
      <c r="L260" s="280"/>
      <c r="M260" s="349"/>
      <c r="N260" s="73"/>
      <c r="O260" s="73"/>
      <c r="P260" s="73"/>
      <c r="Q260" s="73"/>
      <c r="R260" s="73"/>
      <c r="S260" s="73"/>
      <c r="T260" s="73"/>
      <c r="U260" s="58"/>
      <c r="V260" s="58"/>
      <c r="W260" s="58"/>
      <c r="X260" s="58"/>
      <c r="Y260" s="58"/>
      <c r="Z260" s="58"/>
      <c r="AA260" s="58"/>
      <c r="AB260" s="58"/>
      <c r="AC260" s="58"/>
    </row>
    <row r="261" ht="15.75" customHeight="1">
      <c r="A261" s="336"/>
      <c r="B261" s="337"/>
      <c r="C261" s="338"/>
      <c r="D261" s="341"/>
      <c r="E261" s="345"/>
      <c r="F261" s="346"/>
      <c r="G261" s="346"/>
      <c r="H261" s="347"/>
      <c r="I261" s="346"/>
      <c r="J261" s="348"/>
      <c r="K261" s="292"/>
      <c r="L261" s="280"/>
      <c r="M261" s="349"/>
      <c r="N261" s="73"/>
      <c r="O261" s="73"/>
      <c r="P261" s="73"/>
      <c r="Q261" s="73"/>
      <c r="R261" s="73"/>
      <c r="S261" s="73"/>
      <c r="T261" s="73"/>
      <c r="U261" s="58"/>
      <c r="V261" s="58"/>
      <c r="W261" s="58"/>
      <c r="X261" s="58"/>
      <c r="Y261" s="58"/>
      <c r="Z261" s="58"/>
      <c r="AA261" s="58"/>
      <c r="AB261" s="58"/>
      <c r="AC261" s="58"/>
    </row>
    <row r="262" ht="15.75" customHeight="1">
      <c r="A262" s="336"/>
      <c r="B262" s="337"/>
      <c r="C262" s="338"/>
      <c r="D262" s="341"/>
      <c r="E262" s="345"/>
      <c r="F262" s="346"/>
      <c r="G262" s="350"/>
      <c r="H262" s="351"/>
      <c r="I262" s="350"/>
      <c r="J262" s="352"/>
      <c r="K262" s="353"/>
      <c r="L262" s="280"/>
      <c r="M262" s="349"/>
      <c r="N262" s="73"/>
      <c r="O262" s="73"/>
      <c r="P262" s="73"/>
      <c r="Q262" s="73"/>
      <c r="R262" s="73"/>
      <c r="S262" s="73"/>
      <c r="T262" s="73"/>
      <c r="U262" s="58"/>
      <c r="V262" s="58"/>
      <c r="W262" s="58"/>
      <c r="X262" s="58"/>
      <c r="Y262" s="58"/>
      <c r="Z262" s="58"/>
      <c r="AA262" s="58"/>
      <c r="AB262" s="58"/>
      <c r="AC262" s="58"/>
    </row>
    <row r="263" ht="15.75" customHeight="1">
      <c r="A263" s="336"/>
      <c r="B263" s="337"/>
      <c r="C263" s="338"/>
      <c r="D263" s="341"/>
      <c r="E263" s="345"/>
      <c r="F263" s="354"/>
      <c r="G263" s="354"/>
      <c r="H263" s="355"/>
      <c r="I263" s="354"/>
      <c r="J263" s="284"/>
      <c r="K263" s="292"/>
      <c r="L263" s="280"/>
      <c r="M263" s="349"/>
      <c r="N263" s="73"/>
      <c r="O263" s="73"/>
      <c r="P263" s="73"/>
      <c r="Q263" s="73"/>
      <c r="R263" s="73"/>
      <c r="S263" s="73"/>
      <c r="T263" s="73"/>
      <c r="U263" s="58"/>
      <c r="V263" s="58"/>
      <c r="W263" s="58"/>
      <c r="X263" s="58"/>
      <c r="Y263" s="58"/>
      <c r="Z263" s="58"/>
      <c r="AA263" s="58"/>
      <c r="AB263" s="58"/>
      <c r="AC263" s="58"/>
    </row>
    <row r="264" ht="15.75" customHeight="1">
      <c r="A264" s="336"/>
      <c r="B264" s="337"/>
      <c r="C264" s="338"/>
      <c r="D264" s="356"/>
      <c r="E264" s="345"/>
      <c r="F264" s="354"/>
      <c r="G264" s="354"/>
      <c r="H264" s="355"/>
      <c r="I264" s="354"/>
      <c r="J264" s="284"/>
      <c r="K264" s="292"/>
      <c r="L264" s="280"/>
      <c r="M264" s="349"/>
      <c r="N264" s="73"/>
      <c r="O264" s="73"/>
      <c r="P264" s="73"/>
      <c r="Q264" s="73"/>
      <c r="R264" s="73"/>
      <c r="S264" s="73"/>
      <c r="T264" s="73"/>
      <c r="U264" s="58"/>
      <c r="V264" s="58"/>
      <c r="W264" s="58"/>
      <c r="X264" s="58"/>
      <c r="Y264" s="58"/>
      <c r="Z264" s="58"/>
      <c r="AA264" s="58"/>
      <c r="AB264" s="58"/>
      <c r="AC264" s="58"/>
    </row>
    <row r="265" ht="15.0" customHeight="1">
      <c r="A265" s="336"/>
      <c r="B265" s="357"/>
      <c r="C265" s="338"/>
      <c r="D265" s="356"/>
      <c r="E265" s="281"/>
      <c r="F265" s="354"/>
      <c r="G265" s="354"/>
      <c r="H265" s="355"/>
      <c r="I265" s="354"/>
      <c r="J265" s="284"/>
      <c r="K265" s="292"/>
      <c r="L265" s="280"/>
      <c r="M265" s="349"/>
      <c r="N265" s="73"/>
      <c r="O265" s="73"/>
      <c r="P265" s="73"/>
      <c r="Q265" s="73"/>
      <c r="R265" s="73"/>
      <c r="S265" s="73"/>
      <c r="T265" s="73"/>
      <c r="U265" s="58"/>
      <c r="V265" s="58"/>
      <c r="W265" s="58"/>
      <c r="X265" s="58"/>
      <c r="Y265" s="58"/>
      <c r="Z265" s="58"/>
      <c r="AA265" s="58"/>
      <c r="AB265" s="58"/>
      <c r="AC265" s="58"/>
    </row>
    <row r="266" ht="15.75" customHeight="1">
      <c r="A266" s="336"/>
      <c r="B266" s="357"/>
      <c r="C266" s="338"/>
      <c r="D266" s="341"/>
      <c r="E266" s="281"/>
      <c r="F266" s="282"/>
      <c r="G266" s="282"/>
      <c r="H266" s="283"/>
      <c r="I266" s="282"/>
      <c r="J266" s="284"/>
      <c r="K266" s="292"/>
      <c r="L266" s="280"/>
      <c r="M266" s="349"/>
      <c r="N266" s="73"/>
      <c r="O266" s="73"/>
      <c r="P266" s="73"/>
      <c r="Q266" s="73"/>
      <c r="R266" s="73"/>
      <c r="S266" s="73"/>
      <c r="T266" s="73"/>
      <c r="U266" s="58"/>
      <c r="V266" s="58"/>
      <c r="W266" s="58"/>
      <c r="X266" s="58"/>
      <c r="Y266" s="58"/>
      <c r="Z266" s="58"/>
      <c r="AA266" s="58"/>
      <c r="AB266" s="58"/>
      <c r="AC266" s="58"/>
    </row>
    <row r="267" ht="15.75" customHeight="1">
      <c r="A267" s="336"/>
      <c r="B267" s="357"/>
      <c r="C267" s="338"/>
      <c r="D267" s="341"/>
      <c r="E267" s="281"/>
      <c r="F267" s="282"/>
      <c r="G267" s="282"/>
      <c r="H267" s="283"/>
      <c r="I267" s="282"/>
      <c r="J267" s="284"/>
      <c r="K267" s="292"/>
      <c r="L267" s="280"/>
      <c r="M267" s="349"/>
      <c r="N267" s="73"/>
      <c r="O267" s="73"/>
      <c r="P267" s="73"/>
      <c r="Q267" s="73"/>
      <c r="R267" s="73"/>
      <c r="S267" s="73"/>
      <c r="T267" s="73"/>
      <c r="U267" s="58"/>
      <c r="V267" s="58"/>
      <c r="W267" s="58"/>
      <c r="X267" s="58"/>
      <c r="Y267" s="58"/>
      <c r="Z267" s="58"/>
      <c r="AA267" s="58"/>
      <c r="AB267" s="58"/>
      <c r="AC267" s="58"/>
    </row>
    <row r="268" ht="15.75" customHeight="1">
      <c r="A268" s="336"/>
      <c r="B268" s="357"/>
      <c r="C268" s="338"/>
      <c r="D268" s="341"/>
      <c r="E268" s="281"/>
      <c r="F268" s="282"/>
      <c r="G268" s="282"/>
      <c r="H268" s="283"/>
      <c r="I268" s="282"/>
      <c r="J268" s="284"/>
      <c r="K268" s="292"/>
      <c r="L268" s="280"/>
      <c r="M268" s="349"/>
      <c r="N268" s="73"/>
      <c r="O268" s="73"/>
      <c r="P268" s="73"/>
      <c r="Q268" s="73"/>
      <c r="R268" s="73"/>
      <c r="S268" s="73"/>
      <c r="T268" s="73"/>
      <c r="U268" s="58"/>
      <c r="V268" s="58"/>
      <c r="W268" s="58"/>
      <c r="X268" s="58"/>
      <c r="Y268" s="58"/>
      <c r="Z268" s="58"/>
      <c r="AA268" s="58"/>
      <c r="AB268" s="58"/>
      <c r="AC268" s="58"/>
    </row>
    <row r="269" ht="15.75" customHeight="1">
      <c r="A269" s="336"/>
      <c r="B269" s="357"/>
      <c r="C269" s="338"/>
      <c r="D269" s="341"/>
      <c r="E269" s="281"/>
      <c r="F269" s="354"/>
      <c r="G269" s="354"/>
      <c r="H269" s="355"/>
      <c r="I269" s="354"/>
      <c r="J269" s="284"/>
      <c r="K269" s="316"/>
      <c r="L269" s="280"/>
      <c r="M269" s="349"/>
      <c r="N269" s="73"/>
      <c r="O269" s="73"/>
      <c r="P269" s="73"/>
      <c r="Q269" s="73"/>
      <c r="R269" s="73"/>
      <c r="S269" s="73"/>
      <c r="T269" s="73"/>
      <c r="U269" s="58"/>
      <c r="V269" s="58"/>
      <c r="W269" s="58"/>
      <c r="X269" s="58"/>
      <c r="Y269" s="58"/>
      <c r="Z269" s="58"/>
      <c r="AA269" s="58"/>
      <c r="AB269" s="58"/>
      <c r="AC269" s="58"/>
    </row>
    <row r="270" ht="15.75" customHeight="1">
      <c r="A270" s="336"/>
      <c r="B270" s="357"/>
      <c r="C270" s="338"/>
      <c r="D270" s="341"/>
      <c r="E270" s="281"/>
      <c r="F270" s="354"/>
      <c r="G270" s="354"/>
      <c r="H270" s="355"/>
      <c r="I270" s="354"/>
      <c r="J270" s="284"/>
      <c r="K270" s="316"/>
      <c r="L270" s="280"/>
      <c r="M270" s="349"/>
      <c r="N270" s="73"/>
      <c r="O270" s="73"/>
      <c r="P270" s="73"/>
      <c r="Q270" s="73"/>
      <c r="R270" s="73"/>
      <c r="S270" s="73"/>
      <c r="T270" s="73"/>
      <c r="U270" s="58"/>
      <c r="V270" s="58"/>
      <c r="W270" s="58"/>
      <c r="X270" s="58"/>
      <c r="Y270" s="58"/>
      <c r="Z270" s="58"/>
      <c r="AA270" s="58"/>
      <c r="AB270" s="58"/>
      <c r="AC270" s="58"/>
    </row>
    <row r="271" ht="15.75" customHeight="1">
      <c r="A271" s="336"/>
      <c r="B271" s="357"/>
      <c r="C271" s="338"/>
      <c r="D271" s="341"/>
      <c r="E271" s="281"/>
      <c r="F271" s="354"/>
      <c r="G271" s="354"/>
      <c r="H271" s="355"/>
      <c r="I271" s="354"/>
      <c r="J271" s="284"/>
      <c r="K271" s="316"/>
      <c r="L271" s="280"/>
      <c r="M271" s="349"/>
      <c r="N271" s="73"/>
      <c r="O271" s="73"/>
      <c r="P271" s="73"/>
      <c r="Q271" s="73"/>
      <c r="R271" s="73"/>
      <c r="S271" s="73"/>
      <c r="T271" s="73"/>
      <c r="U271" s="58"/>
      <c r="V271" s="58"/>
      <c r="W271" s="58"/>
      <c r="X271" s="58"/>
      <c r="Y271" s="58"/>
      <c r="Z271" s="58"/>
      <c r="AA271" s="58"/>
      <c r="AB271" s="58"/>
      <c r="AC271" s="58"/>
    </row>
    <row r="272" ht="15.75" customHeight="1">
      <c r="A272" s="336"/>
      <c r="B272" s="357"/>
      <c r="C272" s="338"/>
      <c r="D272" s="341"/>
      <c r="E272" s="281"/>
      <c r="F272" s="354"/>
      <c r="G272" s="354"/>
      <c r="H272" s="355"/>
      <c r="I272" s="354"/>
      <c r="J272" s="284"/>
      <c r="K272" s="316"/>
      <c r="L272" s="280"/>
      <c r="M272" s="349"/>
      <c r="N272" s="73"/>
      <c r="O272" s="73"/>
      <c r="P272" s="73"/>
      <c r="Q272" s="73"/>
      <c r="R272" s="73"/>
      <c r="S272" s="73"/>
      <c r="T272" s="73"/>
      <c r="U272" s="58"/>
      <c r="V272" s="58"/>
      <c r="W272" s="58"/>
      <c r="X272" s="58"/>
      <c r="Y272" s="58"/>
      <c r="Z272" s="58"/>
      <c r="AA272" s="58"/>
      <c r="AB272" s="58"/>
      <c r="AC272" s="58"/>
    </row>
    <row r="273" ht="15.75" customHeight="1">
      <c r="A273" s="336"/>
      <c r="B273" s="357"/>
      <c r="C273" s="338"/>
      <c r="D273" s="341"/>
      <c r="E273" s="281"/>
      <c r="F273" s="282"/>
      <c r="G273" s="358"/>
      <c r="H273" s="359"/>
      <c r="I273" s="358"/>
      <c r="J273" s="360"/>
      <c r="K273" s="361"/>
      <c r="L273" s="329"/>
      <c r="M273" s="349"/>
      <c r="N273" s="73"/>
      <c r="O273" s="73"/>
      <c r="P273" s="73"/>
      <c r="Q273" s="73"/>
      <c r="R273" s="73"/>
      <c r="S273" s="73"/>
      <c r="T273" s="73"/>
      <c r="U273" s="58"/>
      <c r="V273" s="58"/>
      <c r="W273" s="58"/>
      <c r="X273" s="58"/>
      <c r="Y273" s="58"/>
      <c r="Z273" s="58"/>
      <c r="AA273" s="58"/>
      <c r="AB273" s="58"/>
      <c r="AC273" s="58"/>
    </row>
    <row r="274" ht="15.75" customHeight="1">
      <c r="A274" s="336"/>
      <c r="B274" s="357"/>
      <c r="C274" s="338"/>
      <c r="D274" s="341"/>
      <c r="E274" s="281"/>
      <c r="F274" s="282"/>
      <c r="G274" s="362"/>
      <c r="H274" s="363"/>
      <c r="I274" s="362"/>
      <c r="J274" s="364"/>
      <c r="K274" s="331"/>
      <c r="L274" s="331"/>
      <c r="M274" s="349"/>
      <c r="N274" s="73"/>
      <c r="O274" s="73"/>
      <c r="P274" s="73"/>
      <c r="Q274" s="73"/>
      <c r="R274" s="73"/>
      <c r="S274" s="73"/>
      <c r="T274" s="73"/>
      <c r="U274" s="58"/>
      <c r="V274" s="58"/>
      <c r="W274" s="58"/>
      <c r="X274" s="58"/>
      <c r="Y274" s="58"/>
      <c r="Z274" s="58"/>
      <c r="AA274" s="58"/>
      <c r="AB274" s="58"/>
      <c r="AC274" s="58"/>
    </row>
    <row r="275" ht="15.75" customHeight="1">
      <c r="A275" s="336"/>
      <c r="B275" s="357"/>
      <c r="C275" s="338"/>
      <c r="D275" s="341"/>
      <c r="E275" s="281"/>
      <c r="F275" s="282"/>
      <c r="G275" s="271"/>
      <c r="H275" s="272"/>
      <c r="I275" s="271"/>
      <c r="J275" s="273"/>
      <c r="K275" s="27"/>
      <c r="L275" s="27"/>
      <c r="M275" s="349"/>
      <c r="N275" s="73"/>
      <c r="O275" s="73"/>
      <c r="P275" s="73"/>
      <c r="Q275" s="73"/>
      <c r="R275" s="73"/>
      <c r="S275" s="73"/>
      <c r="T275" s="73"/>
      <c r="U275" s="58"/>
      <c r="V275" s="58"/>
      <c r="W275" s="58"/>
      <c r="X275" s="58"/>
      <c r="Y275" s="58"/>
      <c r="Z275" s="58"/>
      <c r="AA275" s="58"/>
      <c r="AB275" s="58"/>
      <c r="AC275" s="58"/>
    </row>
    <row r="276" ht="15.75" customHeight="1">
      <c r="A276" s="336"/>
      <c r="B276" s="357"/>
      <c r="C276" s="344"/>
      <c r="D276" s="339"/>
      <c r="E276" s="281"/>
      <c r="F276" s="365"/>
      <c r="G276" s="365"/>
      <c r="H276" s="366"/>
      <c r="I276" s="365"/>
      <c r="J276" s="360"/>
      <c r="K276" s="346"/>
      <c r="L276" s="329"/>
      <c r="M276" s="349"/>
      <c r="N276" s="73"/>
      <c r="O276" s="73"/>
      <c r="P276" s="73"/>
      <c r="Q276" s="73"/>
      <c r="R276" s="73"/>
      <c r="S276" s="73"/>
      <c r="T276" s="73"/>
      <c r="U276" s="58"/>
      <c r="V276" s="58"/>
      <c r="W276" s="58"/>
      <c r="X276" s="58"/>
      <c r="Y276" s="58"/>
      <c r="Z276" s="58"/>
      <c r="AA276" s="58"/>
      <c r="AB276" s="58"/>
      <c r="AC276" s="58"/>
    </row>
    <row r="277" ht="15.75" customHeight="1">
      <c r="A277" s="336"/>
      <c r="B277" s="357"/>
      <c r="C277" s="344"/>
      <c r="D277" s="339"/>
      <c r="E277" s="281"/>
      <c r="F277" s="271"/>
      <c r="G277" s="271"/>
      <c r="H277" s="272"/>
      <c r="I277" s="271"/>
      <c r="J277" s="273"/>
      <c r="K277" s="367"/>
      <c r="L277" s="279"/>
      <c r="M277" s="349"/>
      <c r="N277" s="73"/>
      <c r="O277" s="73"/>
      <c r="P277" s="73"/>
      <c r="Q277" s="73"/>
      <c r="R277" s="73"/>
      <c r="S277" s="73"/>
      <c r="T277" s="73"/>
      <c r="U277" s="58"/>
      <c r="V277" s="58"/>
      <c r="W277" s="58"/>
      <c r="X277" s="58"/>
      <c r="Y277" s="58"/>
      <c r="Z277" s="58"/>
      <c r="AA277" s="58"/>
      <c r="AB277" s="58"/>
      <c r="AC277" s="58"/>
    </row>
    <row r="278" ht="15.75" customHeight="1">
      <c r="A278" s="336"/>
      <c r="B278" s="357"/>
      <c r="C278" s="344"/>
      <c r="D278" s="339"/>
      <c r="E278" s="281"/>
      <c r="F278" s="271"/>
      <c r="G278" s="271"/>
      <c r="H278" s="272"/>
      <c r="I278" s="271"/>
      <c r="J278" s="273"/>
      <c r="K278" s="367"/>
      <c r="L278" s="279"/>
      <c r="M278" s="349"/>
      <c r="N278" s="73"/>
      <c r="O278" s="73"/>
      <c r="P278" s="73"/>
      <c r="Q278" s="73"/>
      <c r="R278" s="73"/>
      <c r="S278" s="73"/>
      <c r="T278" s="73"/>
      <c r="U278" s="58"/>
      <c r="V278" s="58"/>
      <c r="W278" s="58"/>
      <c r="X278" s="58"/>
      <c r="Y278" s="58"/>
      <c r="Z278" s="58"/>
      <c r="AA278" s="58"/>
      <c r="AB278" s="58"/>
      <c r="AC278" s="58"/>
    </row>
    <row r="279" ht="15.75" customHeight="1">
      <c r="A279" s="336"/>
      <c r="B279" s="357"/>
      <c r="C279" s="344"/>
      <c r="D279" s="339"/>
      <c r="E279" s="281"/>
      <c r="F279" s="282"/>
      <c r="G279" s="282"/>
      <c r="H279" s="283"/>
      <c r="I279" s="282"/>
      <c r="J279" s="284"/>
      <c r="K279" s="292"/>
      <c r="L279" s="280"/>
      <c r="M279" s="349"/>
      <c r="N279" s="73"/>
      <c r="O279" s="73"/>
      <c r="P279" s="73"/>
      <c r="Q279" s="73"/>
      <c r="R279" s="73"/>
      <c r="S279" s="73"/>
      <c r="T279" s="73"/>
      <c r="U279" s="58"/>
      <c r="V279" s="58"/>
      <c r="W279" s="58"/>
      <c r="X279" s="58"/>
      <c r="Y279" s="58"/>
      <c r="Z279" s="58"/>
      <c r="AA279" s="58"/>
      <c r="AB279" s="58"/>
      <c r="AC279" s="58"/>
    </row>
    <row r="280" ht="15.75" customHeight="1">
      <c r="A280" s="336"/>
      <c r="B280" s="357"/>
      <c r="C280" s="344"/>
      <c r="D280" s="339"/>
      <c r="E280" s="281"/>
      <c r="F280" s="282"/>
      <c r="G280" s="282"/>
      <c r="H280" s="283"/>
      <c r="I280" s="282"/>
      <c r="J280" s="284"/>
      <c r="K280" s="292"/>
      <c r="L280" s="280"/>
      <c r="M280" s="349"/>
      <c r="N280" s="73"/>
      <c r="O280" s="73"/>
      <c r="P280" s="73"/>
      <c r="Q280" s="73"/>
      <c r="R280" s="73"/>
      <c r="S280" s="73"/>
      <c r="T280" s="73"/>
      <c r="U280" s="58"/>
      <c r="V280" s="58"/>
      <c r="W280" s="58"/>
      <c r="X280" s="58"/>
      <c r="Y280" s="58"/>
      <c r="Z280" s="58"/>
      <c r="AA280" s="58"/>
      <c r="AB280" s="58"/>
      <c r="AC280" s="58"/>
    </row>
    <row r="281" ht="15.75" customHeight="1">
      <c r="A281" s="336"/>
      <c r="B281" s="357"/>
      <c r="C281" s="344"/>
      <c r="D281" s="339"/>
      <c r="E281" s="281"/>
      <c r="F281" s="282"/>
      <c r="G281" s="282"/>
      <c r="H281" s="283"/>
      <c r="I281" s="282"/>
      <c r="J281" s="284"/>
      <c r="K281" s="292"/>
      <c r="L281" s="280"/>
      <c r="M281" s="349"/>
      <c r="N281" s="73"/>
      <c r="O281" s="73"/>
      <c r="P281" s="73"/>
      <c r="Q281" s="73"/>
      <c r="R281" s="73"/>
      <c r="S281" s="73"/>
      <c r="T281" s="73"/>
      <c r="U281" s="58"/>
      <c r="V281" s="58"/>
      <c r="W281" s="58"/>
      <c r="X281" s="58"/>
      <c r="Y281" s="58"/>
      <c r="Z281" s="58"/>
      <c r="AA281" s="58"/>
      <c r="AB281" s="58"/>
      <c r="AC281" s="58"/>
    </row>
    <row r="282" ht="15.75" customHeight="1">
      <c r="A282" s="336"/>
      <c r="B282" s="357"/>
      <c r="C282" s="343"/>
      <c r="D282" s="341"/>
      <c r="E282" s="287"/>
      <c r="F282" s="282"/>
      <c r="G282" s="282"/>
      <c r="H282" s="283"/>
      <c r="I282" s="282"/>
      <c r="J282" s="284"/>
      <c r="K282" s="292"/>
      <c r="L282" s="280"/>
      <c r="M282" s="349"/>
      <c r="N282" s="73"/>
      <c r="O282" s="73"/>
      <c r="P282" s="73"/>
      <c r="Q282" s="73"/>
      <c r="R282" s="73"/>
      <c r="S282" s="73"/>
      <c r="T282" s="73"/>
      <c r="U282" s="58"/>
      <c r="V282" s="58"/>
      <c r="W282" s="58"/>
      <c r="X282" s="58"/>
      <c r="Y282" s="58"/>
      <c r="Z282" s="58"/>
      <c r="AA282" s="58"/>
      <c r="AB282" s="58"/>
      <c r="AC282" s="58"/>
    </row>
    <row r="283" ht="15.75" customHeight="1">
      <c r="A283" s="336"/>
      <c r="B283" s="357"/>
      <c r="C283" s="331"/>
      <c r="D283" s="341"/>
      <c r="E283" s="331"/>
      <c r="F283" s="282"/>
      <c r="G283" s="282"/>
      <c r="H283" s="283"/>
      <c r="I283" s="282"/>
      <c r="J283" s="284"/>
      <c r="K283" s="292"/>
      <c r="L283" s="280"/>
      <c r="M283" s="349"/>
      <c r="N283" s="73"/>
      <c r="O283" s="73"/>
      <c r="P283" s="73"/>
      <c r="Q283" s="73"/>
      <c r="R283" s="73"/>
      <c r="S283" s="73"/>
      <c r="T283" s="73"/>
      <c r="U283" s="58"/>
      <c r="V283" s="58"/>
      <c r="W283" s="58"/>
      <c r="X283" s="58"/>
      <c r="Y283" s="58"/>
      <c r="Z283" s="58"/>
      <c r="AA283" s="58"/>
      <c r="AB283" s="58"/>
      <c r="AC283" s="58"/>
    </row>
    <row r="284" ht="15.75" customHeight="1">
      <c r="A284" s="336"/>
      <c r="B284" s="357"/>
      <c r="C284" s="331"/>
      <c r="D284" s="341"/>
      <c r="E284" s="27"/>
      <c r="F284" s="282"/>
      <c r="G284" s="282"/>
      <c r="H284" s="283"/>
      <c r="I284" s="282"/>
      <c r="J284" s="284"/>
      <c r="K284" s="292"/>
      <c r="L284" s="280"/>
      <c r="M284" s="349"/>
      <c r="N284" s="73"/>
      <c r="O284" s="73"/>
      <c r="P284" s="73"/>
      <c r="Q284" s="73"/>
      <c r="R284" s="73"/>
      <c r="S284" s="73"/>
      <c r="T284" s="73"/>
      <c r="U284" s="58"/>
      <c r="V284" s="58"/>
      <c r="W284" s="58"/>
      <c r="X284" s="58"/>
      <c r="Y284" s="58"/>
      <c r="Z284" s="58"/>
      <c r="AA284" s="58"/>
      <c r="AB284" s="58"/>
      <c r="AC284" s="58"/>
    </row>
    <row r="285" ht="15.75" customHeight="1">
      <c r="A285" s="336"/>
      <c r="B285" s="357"/>
      <c r="C285" s="331"/>
      <c r="D285" s="341"/>
      <c r="E285" s="281"/>
      <c r="F285" s="282"/>
      <c r="G285" s="282"/>
      <c r="H285" s="283"/>
      <c r="I285" s="282"/>
      <c r="J285" s="284"/>
      <c r="K285" s="292"/>
      <c r="L285" s="280"/>
      <c r="M285" s="349"/>
      <c r="N285" s="73"/>
      <c r="O285" s="73"/>
      <c r="P285" s="73"/>
      <c r="Q285" s="73"/>
      <c r="R285" s="73"/>
      <c r="S285" s="73"/>
      <c r="T285" s="73"/>
      <c r="U285" s="58"/>
      <c r="V285" s="58"/>
      <c r="W285" s="58"/>
      <c r="X285" s="58"/>
      <c r="Y285" s="58"/>
      <c r="Z285" s="58"/>
      <c r="AA285" s="58"/>
      <c r="AB285" s="58"/>
      <c r="AC285" s="58"/>
    </row>
    <row r="286" ht="15.75" customHeight="1">
      <c r="A286" s="336"/>
      <c r="B286" s="357"/>
      <c r="C286" s="331"/>
      <c r="D286" s="341"/>
      <c r="E286" s="281"/>
      <c r="F286" s="282"/>
      <c r="G286" s="282"/>
      <c r="H286" s="283"/>
      <c r="I286" s="282"/>
      <c r="J286" s="284"/>
      <c r="K286" s="292"/>
      <c r="L286" s="280"/>
      <c r="M286" s="349"/>
      <c r="N286" s="73"/>
      <c r="O286" s="73"/>
      <c r="P286" s="73"/>
      <c r="Q286" s="73"/>
      <c r="R286" s="73"/>
      <c r="S286" s="73"/>
      <c r="T286" s="73"/>
      <c r="U286" s="58"/>
      <c r="V286" s="58"/>
      <c r="W286" s="58"/>
      <c r="X286" s="58"/>
      <c r="Y286" s="58"/>
      <c r="Z286" s="58"/>
      <c r="AA286" s="58"/>
      <c r="AB286" s="58"/>
      <c r="AC286" s="58"/>
    </row>
    <row r="287" ht="15.75" customHeight="1">
      <c r="A287" s="336"/>
      <c r="B287" s="357"/>
      <c r="C287" s="331"/>
      <c r="D287" s="341"/>
      <c r="E287" s="281"/>
      <c r="F287" s="354"/>
      <c r="G287" s="354"/>
      <c r="H287" s="355"/>
      <c r="I287" s="354"/>
      <c r="J287" s="284"/>
      <c r="K287" s="316"/>
      <c r="L287" s="280"/>
      <c r="M287" s="349"/>
      <c r="N287" s="73"/>
      <c r="O287" s="73"/>
      <c r="P287" s="73"/>
      <c r="Q287" s="73"/>
      <c r="R287" s="73"/>
      <c r="S287" s="73"/>
      <c r="T287" s="73"/>
      <c r="U287" s="58"/>
      <c r="V287" s="58"/>
      <c r="W287" s="58"/>
      <c r="X287" s="58"/>
      <c r="Y287" s="58"/>
      <c r="Z287" s="58"/>
      <c r="AA287" s="58"/>
      <c r="AB287" s="58"/>
      <c r="AC287" s="58"/>
    </row>
    <row r="288" ht="15.75" customHeight="1">
      <c r="A288" s="336"/>
      <c r="B288" s="357"/>
      <c r="C288" s="27"/>
      <c r="D288" s="341"/>
      <c r="E288" s="281"/>
      <c r="F288" s="282"/>
      <c r="G288" s="282"/>
      <c r="H288" s="283"/>
      <c r="I288" s="282"/>
      <c r="J288" s="284"/>
      <c r="K288" s="292"/>
      <c r="L288" s="280"/>
      <c r="M288" s="349"/>
      <c r="N288" s="73"/>
      <c r="O288" s="73"/>
      <c r="P288" s="73"/>
      <c r="Q288" s="73"/>
      <c r="R288" s="73"/>
      <c r="S288" s="73"/>
      <c r="T288" s="73"/>
      <c r="U288" s="58"/>
      <c r="V288" s="58"/>
      <c r="W288" s="58"/>
      <c r="X288" s="58"/>
      <c r="Y288" s="58"/>
      <c r="Z288" s="58"/>
      <c r="AA288" s="58"/>
      <c r="AB288" s="58"/>
      <c r="AC288" s="58"/>
    </row>
    <row r="289" ht="15.75" customHeight="1">
      <c r="A289" s="336"/>
      <c r="B289" s="357"/>
      <c r="C289" s="343"/>
      <c r="D289" s="343"/>
      <c r="E289" s="281"/>
      <c r="F289" s="354"/>
      <c r="G289" s="354"/>
      <c r="H289" s="355"/>
      <c r="I289" s="354"/>
      <c r="J289" s="284"/>
      <c r="K289" s="316"/>
      <c r="L289" s="280"/>
      <c r="M289" s="349"/>
      <c r="N289" s="73"/>
      <c r="O289" s="73"/>
      <c r="P289" s="73"/>
      <c r="Q289" s="73"/>
      <c r="R289" s="73"/>
      <c r="S289" s="73"/>
      <c r="T289" s="73"/>
      <c r="U289" s="58"/>
      <c r="V289" s="58"/>
      <c r="W289" s="58"/>
      <c r="X289" s="58"/>
      <c r="Y289" s="58"/>
      <c r="Z289" s="58"/>
      <c r="AA289" s="58"/>
      <c r="AB289" s="58"/>
      <c r="AC289" s="58"/>
    </row>
    <row r="290" ht="15.75" customHeight="1">
      <c r="A290" s="336"/>
      <c r="B290" s="357"/>
      <c r="C290" s="27"/>
      <c r="D290" s="334"/>
      <c r="E290" s="281"/>
      <c r="F290" s="354"/>
      <c r="G290" s="354"/>
      <c r="H290" s="355"/>
      <c r="I290" s="354"/>
      <c r="J290" s="284"/>
      <c r="K290" s="316"/>
      <c r="L290" s="280"/>
      <c r="M290" s="349"/>
      <c r="N290" s="73"/>
      <c r="O290" s="73"/>
      <c r="P290" s="73"/>
      <c r="Q290" s="73"/>
      <c r="R290" s="73"/>
      <c r="S290" s="73"/>
      <c r="T290" s="73"/>
      <c r="U290" s="58"/>
      <c r="V290" s="58"/>
      <c r="W290" s="58"/>
      <c r="X290" s="58"/>
      <c r="Y290" s="58"/>
      <c r="Z290" s="58"/>
      <c r="AA290" s="58"/>
      <c r="AB290" s="58"/>
      <c r="AC290" s="58"/>
    </row>
    <row r="291" ht="15.75" customHeight="1">
      <c r="A291" s="336"/>
      <c r="B291" s="357"/>
      <c r="C291" s="338"/>
      <c r="D291" s="341"/>
      <c r="E291" s="281"/>
      <c r="F291" s="368"/>
      <c r="G291" s="368"/>
      <c r="H291" s="369"/>
      <c r="I291" s="368"/>
      <c r="J291" s="273"/>
      <c r="K291" s="367"/>
      <c r="L291" s="279"/>
      <c r="M291" s="315"/>
      <c r="N291" s="73"/>
      <c r="O291" s="73"/>
      <c r="P291" s="73"/>
      <c r="Q291" s="73"/>
      <c r="R291" s="73"/>
      <c r="S291" s="73"/>
      <c r="T291" s="73"/>
      <c r="U291" s="58"/>
      <c r="V291" s="58"/>
      <c r="W291" s="58"/>
      <c r="X291" s="58"/>
      <c r="Y291" s="58"/>
      <c r="Z291" s="58"/>
      <c r="AA291" s="58"/>
      <c r="AB291" s="58"/>
      <c r="AC291" s="58"/>
    </row>
    <row r="292" ht="30.0" customHeight="1">
      <c r="A292" s="336"/>
      <c r="B292" s="357"/>
      <c r="C292" s="343"/>
      <c r="D292" s="343"/>
      <c r="E292" s="281"/>
      <c r="F292" s="282"/>
      <c r="G292" s="282"/>
      <c r="H292" s="283"/>
      <c r="I292" s="282"/>
      <c r="J292" s="284"/>
      <c r="K292" s="292"/>
      <c r="L292" s="280"/>
      <c r="M292" s="315"/>
      <c r="N292" s="73"/>
      <c r="O292" s="73"/>
      <c r="P292" s="73"/>
      <c r="Q292" s="73"/>
      <c r="R292" s="73"/>
      <c r="S292" s="73"/>
      <c r="T292" s="73"/>
      <c r="U292" s="58"/>
      <c r="V292" s="58"/>
      <c r="W292" s="58"/>
      <c r="X292" s="58"/>
      <c r="Y292" s="58"/>
      <c r="Z292" s="58"/>
      <c r="AA292" s="58"/>
      <c r="AB292" s="58"/>
      <c r="AC292" s="58"/>
    </row>
    <row r="293" ht="15.75" customHeight="1">
      <c r="A293" s="336"/>
      <c r="B293" s="357"/>
      <c r="C293" s="331"/>
      <c r="D293" s="344"/>
      <c r="E293" s="281"/>
      <c r="F293" s="282"/>
      <c r="G293" s="282"/>
      <c r="H293" s="283"/>
      <c r="I293" s="282"/>
      <c r="J293" s="284"/>
      <c r="K293" s="292"/>
      <c r="L293" s="280"/>
      <c r="M293" s="315"/>
      <c r="N293" s="73"/>
      <c r="O293" s="73"/>
      <c r="P293" s="73"/>
      <c r="Q293" s="73"/>
      <c r="R293" s="73"/>
      <c r="S293" s="73"/>
      <c r="T293" s="73"/>
      <c r="U293" s="58"/>
      <c r="V293" s="58"/>
      <c r="W293" s="58"/>
      <c r="X293" s="58"/>
      <c r="Y293" s="58"/>
      <c r="Z293" s="58"/>
      <c r="AA293" s="58"/>
      <c r="AB293" s="58"/>
      <c r="AC293" s="58"/>
    </row>
    <row r="294" ht="15.75" customHeight="1">
      <c r="A294" s="336"/>
      <c r="B294" s="357"/>
      <c r="C294" s="331"/>
      <c r="D294" s="344"/>
      <c r="E294" s="281"/>
      <c r="F294" s="282"/>
      <c r="G294" s="282"/>
      <c r="H294" s="283"/>
      <c r="I294" s="282"/>
      <c r="J294" s="284"/>
      <c r="K294" s="292"/>
      <c r="L294" s="280"/>
      <c r="M294" s="315"/>
      <c r="N294" s="73"/>
      <c r="O294" s="73"/>
      <c r="P294" s="73"/>
      <c r="Q294" s="73"/>
      <c r="R294" s="73"/>
      <c r="S294" s="73"/>
      <c r="T294" s="73"/>
      <c r="U294" s="58"/>
      <c r="V294" s="58"/>
      <c r="W294" s="58"/>
      <c r="X294" s="58"/>
      <c r="Y294" s="58"/>
      <c r="Z294" s="58"/>
      <c r="AA294" s="58"/>
      <c r="AB294" s="58"/>
      <c r="AC294" s="58"/>
    </row>
    <row r="295" ht="15.75" customHeight="1">
      <c r="A295" s="336"/>
      <c r="B295" s="357"/>
      <c r="C295" s="331"/>
      <c r="D295" s="344"/>
      <c r="E295" s="281"/>
      <c r="F295" s="354"/>
      <c r="G295" s="354"/>
      <c r="H295" s="355"/>
      <c r="I295" s="354"/>
      <c r="J295" s="284"/>
      <c r="K295" s="316"/>
      <c r="L295" s="280"/>
      <c r="M295" s="315"/>
      <c r="N295" s="73"/>
      <c r="O295" s="73"/>
      <c r="P295" s="73"/>
      <c r="Q295" s="73"/>
      <c r="R295" s="73"/>
      <c r="S295" s="73"/>
      <c r="T295" s="73"/>
      <c r="U295" s="58"/>
      <c r="V295" s="58"/>
      <c r="W295" s="58"/>
      <c r="X295" s="58"/>
      <c r="Y295" s="58"/>
      <c r="Z295" s="58"/>
      <c r="AA295" s="58"/>
      <c r="AB295" s="58"/>
      <c r="AC295" s="58"/>
    </row>
    <row r="296" ht="15.75" customHeight="1">
      <c r="A296" s="336"/>
      <c r="B296" s="357"/>
      <c r="C296" s="27"/>
      <c r="D296" s="344"/>
      <c r="E296" s="287"/>
      <c r="F296" s="282"/>
      <c r="G296" s="282"/>
      <c r="H296" s="283"/>
      <c r="I296" s="282"/>
      <c r="J296" s="284"/>
      <c r="K296" s="292"/>
      <c r="L296" s="280"/>
      <c r="M296" s="315"/>
      <c r="N296" s="73"/>
      <c r="O296" s="73"/>
      <c r="P296" s="73"/>
      <c r="Q296" s="73"/>
      <c r="R296" s="73"/>
      <c r="S296" s="73"/>
      <c r="T296" s="73"/>
      <c r="U296" s="58"/>
      <c r="V296" s="58"/>
      <c r="W296" s="58"/>
      <c r="X296" s="58"/>
      <c r="Y296" s="58"/>
      <c r="Z296" s="58"/>
      <c r="AA296" s="58"/>
      <c r="AB296" s="58"/>
      <c r="AC296" s="58"/>
    </row>
    <row r="297" ht="15.75" customHeight="1">
      <c r="A297" s="336"/>
      <c r="B297" s="357"/>
      <c r="C297" s="334"/>
      <c r="D297" s="334"/>
      <c r="E297" s="281"/>
      <c r="F297" s="282"/>
      <c r="G297" s="282"/>
      <c r="H297" s="283"/>
      <c r="I297" s="282"/>
      <c r="J297" s="284"/>
      <c r="K297" s="292"/>
      <c r="L297" s="280"/>
      <c r="M297" s="315"/>
      <c r="N297" s="73"/>
      <c r="O297" s="73"/>
      <c r="P297" s="73"/>
      <c r="Q297" s="73"/>
      <c r="R297" s="73"/>
      <c r="S297" s="73"/>
      <c r="T297" s="73"/>
      <c r="U297" s="58"/>
      <c r="V297" s="58"/>
      <c r="W297" s="58"/>
      <c r="X297" s="58"/>
      <c r="Y297" s="58"/>
      <c r="Z297" s="58"/>
      <c r="AA297" s="58"/>
      <c r="AB297" s="58"/>
      <c r="AC297" s="58"/>
    </row>
    <row r="298" ht="15.75" customHeight="1">
      <c r="A298" s="336"/>
      <c r="B298" s="357"/>
      <c r="C298" s="338"/>
      <c r="D298" s="341"/>
      <c r="E298" s="281"/>
      <c r="F298" s="282"/>
      <c r="G298" s="282"/>
      <c r="H298" s="283"/>
      <c r="I298" s="282"/>
      <c r="J298" s="284"/>
      <c r="K298" s="292"/>
      <c r="L298" s="280"/>
      <c r="M298" s="315"/>
      <c r="N298" s="73"/>
      <c r="O298" s="73"/>
      <c r="P298" s="73"/>
      <c r="Q298" s="73"/>
      <c r="R298" s="73"/>
      <c r="S298" s="73"/>
      <c r="T298" s="73"/>
      <c r="U298" s="58"/>
      <c r="V298" s="58"/>
      <c r="W298" s="58"/>
      <c r="X298" s="58"/>
      <c r="Y298" s="58"/>
      <c r="Z298" s="58"/>
      <c r="AA298" s="58"/>
      <c r="AB298" s="58"/>
      <c r="AC298" s="58"/>
    </row>
    <row r="299" ht="15.75" customHeight="1">
      <c r="A299" s="336"/>
      <c r="B299" s="357"/>
      <c r="C299" s="338"/>
      <c r="D299" s="341"/>
      <c r="E299" s="281"/>
      <c r="F299" s="282"/>
      <c r="G299" s="282"/>
      <c r="H299" s="283"/>
      <c r="I299" s="282"/>
      <c r="J299" s="284"/>
      <c r="K299" s="292"/>
      <c r="L299" s="280"/>
      <c r="M299" s="315"/>
      <c r="N299" s="73"/>
      <c r="O299" s="73"/>
      <c r="P299" s="73"/>
      <c r="Q299" s="73"/>
      <c r="R299" s="73"/>
      <c r="S299" s="73"/>
      <c r="T299" s="73"/>
      <c r="U299" s="58"/>
      <c r="V299" s="58"/>
      <c r="W299" s="58"/>
      <c r="X299" s="58"/>
      <c r="Y299" s="58"/>
      <c r="Z299" s="58"/>
      <c r="AA299" s="58"/>
      <c r="AB299" s="58"/>
      <c r="AC299" s="58"/>
    </row>
    <row r="300" ht="15.75" customHeight="1">
      <c r="A300" s="336"/>
      <c r="B300" s="357"/>
      <c r="C300" s="338"/>
      <c r="D300" s="341"/>
      <c r="E300" s="281"/>
      <c r="F300" s="354"/>
      <c r="G300" s="354"/>
      <c r="H300" s="355"/>
      <c r="I300" s="354"/>
      <c r="J300" s="284"/>
      <c r="K300" s="316"/>
      <c r="L300" s="280"/>
      <c r="M300" s="315"/>
      <c r="N300" s="73"/>
      <c r="O300" s="73"/>
      <c r="P300" s="73"/>
      <c r="Q300" s="73"/>
      <c r="R300" s="73"/>
      <c r="S300" s="73"/>
      <c r="T300" s="73"/>
      <c r="U300" s="58"/>
      <c r="V300" s="58"/>
      <c r="W300" s="58"/>
      <c r="X300" s="58"/>
      <c r="Y300" s="58"/>
      <c r="Z300" s="58"/>
      <c r="AA300" s="58"/>
      <c r="AB300" s="58"/>
      <c r="AC300" s="58"/>
    </row>
    <row r="301" ht="15.75" customHeight="1">
      <c r="A301" s="336"/>
      <c r="B301" s="357"/>
      <c r="C301" s="338"/>
      <c r="D301" s="341"/>
      <c r="E301" s="281"/>
      <c r="F301" s="354"/>
      <c r="G301" s="354"/>
      <c r="H301" s="355"/>
      <c r="I301" s="354"/>
      <c r="J301" s="284"/>
      <c r="K301" s="292"/>
      <c r="L301" s="280"/>
      <c r="M301" s="315"/>
      <c r="N301" s="73"/>
      <c r="O301" s="73"/>
      <c r="P301" s="73"/>
      <c r="Q301" s="73"/>
      <c r="R301" s="73"/>
      <c r="S301" s="73"/>
      <c r="T301" s="73"/>
      <c r="U301" s="58"/>
      <c r="V301" s="58"/>
      <c r="W301" s="58"/>
      <c r="X301" s="58"/>
      <c r="Y301" s="58"/>
      <c r="Z301" s="58"/>
      <c r="AA301" s="58"/>
      <c r="AB301" s="58"/>
      <c r="AC301" s="58"/>
    </row>
    <row r="302" ht="15.75" customHeight="1">
      <c r="A302" s="336"/>
      <c r="B302" s="357"/>
      <c r="C302" s="338"/>
      <c r="D302" s="341"/>
      <c r="E302" s="281"/>
      <c r="F302" s="354"/>
      <c r="G302" s="354"/>
      <c r="H302" s="355"/>
      <c r="I302" s="354"/>
      <c r="J302" s="284"/>
      <c r="K302" s="316"/>
      <c r="L302" s="280"/>
      <c r="M302" s="315"/>
      <c r="N302" s="73"/>
      <c r="O302" s="73"/>
      <c r="P302" s="73"/>
      <c r="Q302" s="73"/>
      <c r="R302" s="73"/>
      <c r="S302" s="73"/>
      <c r="T302" s="73"/>
      <c r="U302" s="58"/>
      <c r="V302" s="58"/>
      <c r="W302" s="58"/>
      <c r="X302" s="58"/>
      <c r="Y302" s="58"/>
      <c r="Z302" s="58"/>
      <c r="AA302" s="58"/>
      <c r="AB302" s="58"/>
      <c r="AC302" s="58"/>
    </row>
    <row r="303" ht="15.75" customHeight="1">
      <c r="A303" s="336"/>
      <c r="B303" s="357"/>
      <c r="C303" s="338"/>
      <c r="D303" s="341"/>
      <c r="E303" s="281"/>
      <c r="F303" s="354"/>
      <c r="G303" s="354"/>
      <c r="H303" s="355"/>
      <c r="I303" s="354"/>
      <c r="J303" s="284"/>
      <c r="K303" s="316"/>
      <c r="L303" s="280"/>
      <c r="M303" s="315"/>
      <c r="N303" s="73"/>
      <c r="O303" s="73"/>
      <c r="P303" s="73"/>
      <c r="Q303" s="73"/>
      <c r="R303" s="73"/>
      <c r="S303" s="73"/>
      <c r="T303" s="73"/>
      <c r="U303" s="58"/>
      <c r="V303" s="58"/>
      <c r="W303" s="58"/>
      <c r="X303" s="58"/>
      <c r="Y303" s="58"/>
      <c r="Z303" s="58"/>
      <c r="AA303" s="58"/>
      <c r="AB303" s="58"/>
      <c r="AC303" s="58"/>
    </row>
    <row r="304" ht="15.75" customHeight="1">
      <c r="A304" s="336"/>
      <c r="B304" s="357"/>
      <c r="C304" s="338"/>
      <c r="D304" s="341"/>
      <c r="E304" s="281"/>
      <c r="F304" s="354"/>
      <c r="G304" s="354"/>
      <c r="H304" s="355"/>
      <c r="I304" s="354"/>
      <c r="J304" s="284"/>
      <c r="K304" s="316"/>
      <c r="L304" s="280"/>
      <c r="M304" s="315"/>
      <c r="N304" s="73"/>
      <c r="O304" s="73"/>
      <c r="P304" s="73"/>
      <c r="Q304" s="73"/>
      <c r="R304" s="73"/>
      <c r="S304" s="73"/>
      <c r="T304" s="73"/>
      <c r="U304" s="58"/>
      <c r="V304" s="58"/>
      <c r="W304" s="58"/>
      <c r="X304" s="58"/>
      <c r="Y304" s="58"/>
      <c r="Z304" s="58"/>
      <c r="AA304" s="58"/>
      <c r="AB304" s="58"/>
      <c r="AC304" s="58"/>
    </row>
    <row r="305" ht="15.75" customHeight="1">
      <c r="A305" s="336"/>
      <c r="B305" s="357"/>
      <c r="C305" s="338"/>
      <c r="D305" s="341"/>
      <c r="E305" s="281"/>
      <c r="F305" s="362"/>
      <c r="G305" s="362"/>
      <c r="H305" s="363"/>
      <c r="I305" s="362"/>
      <c r="J305" s="364"/>
      <c r="K305" s="370"/>
      <c r="L305" s="371"/>
      <c r="M305" s="315"/>
      <c r="N305" s="73"/>
      <c r="O305" s="73"/>
      <c r="P305" s="73"/>
      <c r="Q305" s="73"/>
      <c r="R305" s="73"/>
      <c r="S305" s="73"/>
      <c r="T305" s="73"/>
      <c r="U305" s="58"/>
      <c r="V305" s="58"/>
      <c r="W305" s="58"/>
      <c r="X305" s="58"/>
      <c r="Y305" s="58"/>
      <c r="Z305" s="58"/>
      <c r="AA305" s="58"/>
      <c r="AB305" s="58"/>
      <c r="AC305" s="58"/>
    </row>
    <row r="306" ht="15.75" customHeight="1">
      <c r="A306" s="336"/>
      <c r="B306" s="357"/>
      <c r="C306" s="338"/>
      <c r="D306" s="341"/>
      <c r="E306" s="281"/>
      <c r="F306" s="271"/>
      <c r="G306" s="271"/>
      <c r="H306" s="272"/>
      <c r="I306" s="271"/>
      <c r="J306" s="273"/>
      <c r="K306" s="367"/>
      <c r="L306" s="279"/>
      <c r="M306" s="315"/>
      <c r="N306" s="73"/>
      <c r="O306" s="73"/>
      <c r="P306" s="73"/>
      <c r="Q306" s="73"/>
      <c r="R306" s="73"/>
      <c r="S306" s="73"/>
      <c r="T306" s="73"/>
      <c r="U306" s="58"/>
      <c r="V306" s="58"/>
      <c r="W306" s="58"/>
      <c r="X306" s="58"/>
      <c r="Y306" s="58"/>
      <c r="Z306" s="58"/>
      <c r="AA306" s="58"/>
      <c r="AB306" s="58"/>
      <c r="AC306" s="58"/>
    </row>
    <row r="307" ht="15.75" customHeight="1">
      <c r="A307" s="336"/>
      <c r="B307" s="357"/>
      <c r="C307" s="338"/>
      <c r="D307" s="341"/>
      <c r="E307" s="281"/>
      <c r="F307" s="354"/>
      <c r="G307" s="354"/>
      <c r="H307" s="355"/>
      <c r="I307" s="354"/>
      <c r="J307" s="284"/>
      <c r="K307" s="316"/>
      <c r="L307" s="280"/>
      <c r="M307" s="315"/>
      <c r="N307" s="73"/>
      <c r="O307" s="73"/>
      <c r="P307" s="73"/>
      <c r="Q307" s="73"/>
      <c r="R307" s="73"/>
      <c r="S307" s="73"/>
      <c r="T307" s="73"/>
      <c r="U307" s="58"/>
      <c r="V307" s="58"/>
      <c r="W307" s="58"/>
      <c r="X307" s="58"/>
      <c r="Y307" s="58"/>
      <c r="Z307" s="58"/>
      <c r="AA307" s="58"/>
      <c r="AB307" s="58"/>
      <c r="AC307" s="58"/>
    </row>
    <row r="308" ht="15.75" customHeight="1">
      <c r="A308" s="336"/>
      <c r="B308" s="357"/>
      <c r="C308" s="338"/>
      <c r="D308" s="338"/>
      <c r="E308" s="281"/>
      <c r="F308" s="354"/>
      <c r="G308" s="354"/>
      <c r="H308" s="355"/>
      <c r="I308" s="354"/>
      <c r="J308" s="284"/>
      <c r="K308" s="372"/>
      <c r="L308" s="280"/>
      <c r="M308" s="315"/>
      <c r="N308" s="73"/>
      <c r="O308" s="73"/>
      <c r="P308" s="73"/>
      <c r="Q308" s="73"/>
      <c r="R308" s="73"/>
      <c r="S308" s="73"/>
      <c r="T308" s="73"/>
      <c r="U308" s="58"/>
      <c r="V308" s="58"/>
      <c r="W308" s="58"/>
      <c r="X308" s="58"/>
      <c r="Y308" s="58"/>
      <c r="Z308" s="58"/>
      <c r="AA308" s="58"/>
      <c r="AB308" s="58"/>
      <c r="AC308" s="58"/>
    </row>
    <row r="309" ht="15.75" customHeight="1">
      <c r="A309" s="336"/>
      <c r="B309" s="357"/>
      <c r="C309" s="338"/>
      <c r="D309" s="341"/>
      <c r="E309" s="281"/>
      <c r="F309" s="354"/>
      <c r="G309" s="354"/>
      <c r="H309" s="355"/>
      <c r="I309" s="354"/>
      <c r="J309" s="284"/>
      <c r="K309" s="27"/>
      <c r="L309" s="280"/>
      <c r="M309" s="315"/>
      <c r="N309" s="73"/>
      <c r="O309" s="73"/>
      <c r="P309" s="73"/>
      <c r="Q309" s="73"/>
      <c r="R309" s="73"/>
      <c r="S309" s="73"/>
      <c r="T309" s="73"/>
      <c r="U309" s="58"/>
      <c r="V309" s="58"/>
      <c r="W309" s="58"/>
      <c r="X309" s="58"/>
      <c r="Y309" s="58"/>
      <c r="Z309" s="58"/>
      <c r="AA309" s="58"/>
      <c r="AB309" s="58"/>
      <c r="AC309" s="58"/>
    </row>
    <row r="310" ht="15.75" customHeight="1">
      <c r="A310" s="336"/>
      <c r="B310" s="357"/>
      <c r="C310" s="338"/>
      <c r="D310" s="341"/>
      <c r="E310" s="281"/>
      <c r="F310" s="354"/>
      <c r="G310" s="354"/>
      <c r="H310" s="355"/>
      <c r="I310" s="354"/>
      <c r="J310" s="284"/>
      <c r="K310" s="316"/>
      <c r="L310" s="280"/>
      <c r="M310" s="315"/>
      <c r="N310" s="73"/>
      <c r="O310" s="73"/>
      <c r="P310" s="73"/>
      <c r="Q310" s="73"/>
      <c r="R310" s="73"/>
      <c r="S310" s="73"/>
      <c r="T310" s="73"/>
      <c r="U310" s="58"/>
      <c r="V310" s="58"/>
      <c r="W310" s="58"/>
      <c r="X310" s="58"/>
      <c r="Y310" s="58"/>
      <c r="Z310" s="58"/>
      <c r="AA310" s="58"/>
      <c r="AB310" s="58"/>
      <c r="AC310" s="58"/>
    </row>
    <row r="311" ht="15.75" customHeight="1">
      <c r="A311" s="336"/>
      <c r="B311" s="357"/>
      <c r="C311" s="338"/>
      <c r="D311" s="341"/>
      <c r="E311" s="281"/>
      <c r="F311" s="368"/>
      <c r="G311" s="368"/>
      <c r="H311" s="369"/>
      <c r="I311" s="368"/>
      <c r="J311" s="273"/>
      <c r="K311" s="367"/>
      <c r="L311" s="279"/>
      <c r="M311" s="315"/>
      <c r="N311" s="73"/>
      <c r="O311" s="73"/>
      <c r="P311" s="73"/>
      <c r="Q311" s="73"/>
      <c r="R311" s="73"/>
      <c r="S311" s="73"/>
      <c r="T311" s="73"/>
      <c r="U311" s="58"/>
      <c r="V311" s="58"/>
      <c r="W311" s="58"/>
      <c r="X311" s="58"/>
      <c r="Y311" s="58"/>
      <c r="Z311" s="58"/>
      <c r="AA311" s="58"/>
      <c r="AB311" s="58"/>
      <c r="AC311" s="58"/>
    </row>
    <row r="312" ht="15.75" customHeight="1">
      <c r="A312" s="336"/>
      <c r="B312" s="357"/>
      <c r="C312" s="343"/>
      <c r="D312" s="343"/>
      <c r="E312" s="281"/>
      <c r="F312" s="354"/>
      <c r="G312" s="354"/>
      <c r="H312" s="355"/>
      <c r="I312" s="354"/>
      <c r="J312" s="284"/>
      <c r="K312" s="361"/>
      <c r="L312" s="280"/>
      <c r="M312" s="315"/>
      <c r="N312" s="73"/>
      <c r="O312" s="73"/>
      <c r="P312" s="73"/>
      <c r="Q312" s="73"/>
      <c r="R312" s="73"/>
      <c r="S312" s="73"/>
      <c r="T312" s="73"/>
      <c r="U312" s="58"/>
      <c r="V312" s="58"/>
      <c r="W312" s="58"/>
      <c r="X312" s="58"/>
      <c r="Y312" s="58"/>
      <c r="Z312" s="58"/>
      <c r="AA312" s="58"/>
      <c r="AB312" s="58"/>
      <c r="AC312" s="58"/>
    </row>
    <row r="313" ht="15.75" customHeight="1">
      <c r="A313" s="336"/>
      <c r="B313" s="357"/>
      <c r="C313" s="27"/>
      <c r="D313" s="334"/>
      <c r="E313" s="281"/>
      <c r="F313" s="354"/>
      <c r="G313" s="354"/>
      <c r="H313" s="355"/>
      <c r="I313" s="354"/>
      <c r="J313" s="284"/>
      <c r="K313" s="27"/>
      <c r="L313" s="280"/>
      <c r="M313" s="315"/>
      <c r="N313" s="73"/>
      <c r="O313" s="73"/>
      <c r="P313" s="73"/>
      <c r="Q313" s="73"/>
      <c r="R313" s="73"/>
      <c r="S313" s="73"/>
      <c r="T313" s="73"/>
      <c r="U313" s="58"/>
      <c r="V313" s="58"/>
      <c r="W313" s="58"/>
      <c r="X313" s="58"/>
      <c r="Y313" s="58"/>
      <c r="Z313" s="58"/>
      <c r="AA313" s="58"/>
      <c r="AB313" s="58"/>
      <c r="AC313" s="58"/>
    </row>
    <row r="314" ht="15.75" customHeight="1">
      <c r="A314" s="336"/>
      <c r="B314" s="357"/>
      <c r="C314" s="343"/>
      <c r="D314" s="356"/>
      <c r="E314" s="304"/>
      <c r="F314" s="292"/>
      <c r="G314" s="292"/>
      <c r="H314" s="305"/>
      <c r="I314" s="292"/>
      <c r="J314" s="284"/>
      <c r="K314" s="292"/>
      <c r="L314" s="280"/>
      <c r="M314" s="315"/>
      <c r="N314" s="73"/>
      <c r="O314" s="73"/>
      <c r="P314" s="73"/>
      <c r="Q314" s="73"/>
      <c r="R314" s="73"/>
      <c r="S314" s="73"/>
      <c r="T314" s="73"/>
      <c r="U314" s="58"/>
      <c r="V314" s="58"/>
      <c r="W314" s="58"/>
      <c r="X314" s="58"/>
      <c r="Y314" s="58"/>
      <c r="Z314" s="58"/>
      <c r="AA314" s="58"/>
      <c r="AB314" s="58"/>
      <c r="AC314" s="58"/>
    </row>
    <row r="315" ht="15.75" customHeight="1">
      <c r="A315" s="336"/>
      <c r="B315" s="357"/>
      <c r="C315" s="27"/>
      <c r="D315" s="373"/>
      <c r="E315" s="304"/>
      <c r="F315" s="292"/>
      <c r="G315" s="292"/>
      <c r="H315" s="305"/>
      <c r="I315" s="292"/>
      <c r="J315" s="284"/>
      <c r="K315" s="292"/>
      <c r="L315" s="280"/>
      <c r="M315" s="315"/>
      <c r="N315" s="73"/>
      <c r="O315" s="73"/>
      <c r="P315" s="73"/>
      <c r="Q315" s="73"/>
      <c r="R315" s="73"/>
      <c r="S315" s="73"/>
      <c r="T315" s="73"/>
      <c r="U315" s="58"/>
      <c r="V315" s="58"/>
      <c r="W315" s="58"/>
      <c r="X315" s="58"/>
      <c r="Y315" s="58"/>
      <c r="Z315" s="58"/>
      <c r="AA315" s="58"/>
      <c r="AB315" s="58"/>
      <c r="AC315" s="58"/>
    </row>
    <row r="316" ht="15.75" customHeight="1">
      <c r="A316" s="336"/>
      <c r="B316" s="357"/>
      <c r="C316" s="338"/>
      <c r="D316" s="341"/>
      <c r="E316" s="304"/>
      <c r="F316" s="292"/>
      <c r="G316" s="292"/>
      <c r="H316" s="305"/>
      <c r="I316" s="292"/>
      <c r="J316" s="284"/>
      <c r="K316" s="292"/>
      <c r="L316" s="280"/>
      <c r="M316" s="315"/>
      <c r="N316" s="73"/>
      <c r="O316" s="73"/>
      <c r="P316" s="73"/>
      <c r="Q316" s="73"/>
      <c r="R316" s="73"/>
      <c r="S316" s="73"/>
      <c r="T316" s="73"/>
      <c r="U316" s="58"/>
      <c r="V316" s="58"/>
      <c r="W316" s="58"/>
      <c r="X316" s="58"/>
      <c r="Y316" s="58"/>
      <c r="Z316" s="58"/>
      <c r="AA316" s="58"/>
      <c r="AB316" s="58"/>
      <c r="AC316" s="58"/>
    </row>
    <row r="317" ht="15.75" customHeight="1">
      <c r="A317" s="336"/>
      <c r="B317" s="357"/>
      <c r="C317" s="343"/>
      <c r="D317" s="343"/>
      <c r="E317" s="304"/>
      <c r="F317" s="292"/>
      <c r="G317" s="292"/>
      <c r="H317" s="305"/>
      <c r="I317" s="292"/>
      <c r="J317" s="284"/>
      <c r="K317" s="292"/>
      <c r="L317" s="280"/>
      <c r="M317" s="315"/>
      <c r="N317" s="73"/>
      <c r="O317" s="73"/>
      <c r="P317" s="73"/>
      <c r="Q317" s="73"/>
      <c r="R317" s="73"/>
      <c r="S317" s="73"/>
      <c r="T317" s="73"/>
      <c r="U317" s="58"/>
      <c r="V317" s="58"/>
      <c r="W317" s="58"/>
      <c r="X317" s="58"/>
      <c r="Y317" s="58"/>
      <c r="Z317" s="58"/>
      <c r="AA317" s="58"/>
      <c r="AB317" s="58"/>
      <c r="AC317" s="58"/>
    </row>
    <row r="318" ht="15.75" customHeight="1">
      <c r="A318" s="336"/>
      <c r="B318" s="357"/>
      <c r="C318" s="331"/>
      <c r="D318" s="344"/>
      <c r="E318" s="304"/>
      <c r="F318" s="292"/>
      <c r="G318" s="292"/>
      <c r="H318" s="305"/>
      <c r="I318" s="292"/>
      <c r="J318" s="284"/>
      <c r="K318" s="292"/>
      <c r="L318" s="280"/>
      <c r="M318" s="315"/>
      <c r="N318" s="73"/>
      <c r="O318" s="73"/>
      <c r="P318" s="73"/>
      <c r="Q318" s="73"/>
      <c r="R318" s="73"/>
      <c r="S318" s="73"/>
      <c r="T318" s="73"/>
      <c r="U318" s="58"/>
      <c r="V318" s="58"/>
      <c r="W318" s="58"/>
      <c r="X318" s="58"/>
      <c r="Y318" s="58"/>
      <c r="Z318" s="58"/>
      <c r="AA318" s="58"/>
      <c r="AB318" s="58"/>
      <c r="AC318" s="58"/>
    </row>
    <row r="319" ht="15.75" customHeight="1">
      <c r="A319" s="336"/>
      <c r="B319" s="357"/>
      <c r="C319" s="27"/>
      <c r="D319" s="334"/>
      <c r="E319" s="304"/>
      <c r="F319" s="292"/>
      <c r="G319" s="292"/>
      <c r="H319" s="305"/>
      <c r="I319" s="292"/>
      <c r="J319" s="284"/>
      <c r="K319" s="292"/>
      <c r="L319" s="280"/>
      <c r="M319" s="315"/>
      <c r="N319" s="73"/>
      <c r="O319" s="73"/>
      <c r="P319" s="73"/>
      <c r="Q319" s="73"/>
      <c r="R319" s="73"/>
      <c r="S319" s="73"/>
      <c r="T319" s="73"/>
      <c r="U319" s="58"/>
      <c r="V319" s="58"/>
      <c r="W319" s="58"/>
      <c r="X319" s="58"/>
      <c r="Y319" s="58"/>
      <c r="Z319" s="58"/>
      <c r="AA319" s="58"/>
      <c r="AB319" s="58"/>
      <c r="AC319" s="58"/>
    </row>
    <row r="320" ht="15.75" customHeight="1">
      <c r="A320" s="374"/>
      <c r="B320" s="375"/>
      <c r="C320" s="376"/>
      <c r="D320" s="377"/>
      <c r="E320" s="345"/>
      <c r="F320" s="378"/>
      <c r="G320" s="378"/>
      <c r="H320" s="379"/>
      <c r="I320" s="378"/>
      <c r="J320" s="348"/>
      <c r="K320" s="380"/>
      <c r="L320" s="381"/>
      <c r="M320" s="382"/>
      <c r="N320" s="275"/>
      <c r="O320" s="275"/>
      <c r="P320" s="275"/>
      <c r="Q320" s="275"/>
      <c r="R320" s="275"/>
      <c r="S320" s="275"/>
      <c r="T320" s="275"/>
      <c r="U320" s="383"/>
      <c r="V320" s="383"/>
      <c r="W320" s="383"/>
      <c r="X320" s="383"/>
      <c r="Y320" s="383"/>
      <c r="Z320" s="383"/>
      <c r="AA320" s="383"/>
      <c r="AB320" s="383"/>
      <c r="AC320" s="383"/>
    </row>
    <row r="321" ht="15.75" customHeight="1">
      <c r="A321" s="384"/>
      <c r="B321" s="385"/>
      <c r="C321" s="344"/>
      <c r="D321" s="339"/>
      <c r="E321" s="304"/>
      <c r="F321" s="292"/>
      <c r="G321" s="292"/>
      <c r="H321" s="305"/>
      <c r="I321" s="292"/>
      <c r="J321" s="284"/>
      <c r="K321" s="292"/>
      <c r="L321" s="280"/>
      <c r="M321" s="280"/>
      <c r="N321" s="280"/>
      <c r="O321" s="280"/>
      <c r="P321" s="280"/>
      <c r="Q321" s="280"/>
      <c r="R321" s="280"/>
      <c r="S321" s="280"/>
      <c r="T321" s="280"/>
      <c r="U321" s="386"/>
      <c r="V321" s="386"/>
      <c r="W321" s="386"/>
      <c r="X321" s="386"/>
      <c r="Y321" s="386"/>
      <c r="Z321" s="386"/>
      <c r="AA321" s="386"/>
      <c r="AB321" s="386"/>
      <c r="AC321" s="386"/>
    </row>
    <row r="322" ht="15.75" customHeight="1">
      <c r="A322" s="384"/>
      <c r="B322" s="385"/>
      <c r="C322" s="344"/>
      <c r="D322" s="339"/>
      <c r="E322" s="304"/>
      <c r="F322" s="292"/>
      <c r="G322" s="292"/>
      <c r="H322" s="305"/>
      <c r="I322" s="292"/>
      <c r="J322" s="284"/>
      <c r="K322" s="292"/>
      <c r="L322" s="280"/>
      <c r="M322" s="280"/>
      <c r="N322" s="280"/>
      <c r="O322" s="280"/>
      <c r="P322" s="280"/>
      <c r="Q322" s="280"/>
      <c r="R322" s="280"/>
      <c r="S322" s="280"/>
      <c r="T322" s="280"/>
      <c r="U322" s="386"/>
      <c r="V322" s="386"/>
      <c r="W322" s="386"/>
      <c r="X322" s="386"/>
      <c r="Y322" s="386"/>
      <c r="Z322" s="386"/>
      <c r="AA322" s="386"/>
      <c r="AB322" s="386"/>
      <c r="AC322" s="386"/>
    </row>
    <row r="323" ht="15.75" customHeight="1">
      <c r="A323" s="384"/>
      <c r="B323" s="385"/>
      <c r="C323" s="344"/>
      <c r="D323" s="339"/>
      <c r="E323" s="304"/>
      <c r="F323" s="292"/>
      <c r="G323" s="292"/>
      <c r="H323" s="305"/>
      <c r="I323" s="292"/>
      <c r="J323" s="284"/>
      <c r="K323" s="292"/>
      <c r="L323" s="280"/>
      <c r="M323" s="280"/>
      <c r="N323" s="280"/>
      <c r="O323" s="280"/>
      <c r="P323" s="280"/>
      <c r="Q323" s="280"/>
      <c r="R323" s="280"/>
      <c r="S323" s="280"/>
      <c r="T323" s="280"/>
      <c r="U323" s="386"/>
      <c r="V323" s="386"/>
      <c r="W323" s="386"/>
      <c r="X323" s="386"/>
      <c r="Y323" s="386"/>
      <c r="Z323" s="386"/>
      <c r="AA323" s="386"/>
      <c r="AB323" s="386"/>
      <c r="AC323" s="386"/>
    </row>
    <row r="324" ht="15.75" customHeight="1">
      <c r="A324" s="384"/>
      <c r="B324" s="385"/>
      <c r="C324" s="344"/>
      <c r="D324" s="339"/>
      <c r="E324" s="304"/>
      <c r="F324" s="361"/>
      <c r="G324" s="361"/>
      <c r="H324" s="387"/>
      <c r="I324" s="361"/>
      <c r="J324" s="360"/>
      <c r="K324" s="361"/>
      <c r="L324" s="329"/>
      <c r="M324" s="280"/>
      <c r="N324" s="280"/>
      <c r="O324" s="280"/>
      <c r="P324" s="280"/>
      <c r="Q324" s="280"/>
      <c r="R324" s="280"/>
      <c r="S324" s="280"/>
      <c r="T324" s="280"/>
      <c r="U324" s="386"/>
      <c r="V324" s="386"/>
      <c r="W324" s="386"/>
      <c r="X324" s="386"/>
      <c r="Y324" s="386"/>
      <c r="Z324" s="386"/>
      <c r="AA324" s="386"/>
      <c r="AB324" s="386"/>
      <c r="AC324" s="386"/>
    </row>
    <row r="325" ht="15.75" customHeight="1">
      <c r="A325" s="384"/>
      <c r="B325" s="388"/>
      <c r="C325" s="343"/>
      <c r="D325" s="341"/>
      <c r="E325" s="323"/>
      <c r="F325" s="282"/>
      <c r="G325" s="282"/>
      <c r="H325" s="283"/>
      <c r="I325" s="282"/>
      <c r="J325" s="284"/>
      <c r="K325" s="282"/>
      <c r="L325" s="280"/>
      <c r="M325" s="349"/>
      <c r="N325" s="280"/>
      <c r="O325" s="280"/>
      <c r="P325" s="280"/>
      <c r="Q325" s="280"/>
      <c r="R325" s="280"/>
      <c r="S325" s="280"/>
      <c r="T325" s="280"/>
      <c r="U325" s="386"/>
      <c r="V325" s="386"/>
      <c r="W325" s="386"/>
      <c r="X325" s="386"/>
      <c r="Y325" s="386"/>
      <c r="Z325" s="386"/>
      <c r="AA325" s="386"/>
      <c r="AB325" s="386"/>
      <c r="AC325" s="386"/>
    </row>
    <row r="326" ht="15.75" customHeight="1">
      <c r="A326" s="384"/>
      <c r="B326" s="331"/>
      <c r="C326" s="331"/>
      <c r="D326" s="341"/>
      <c r="E326" s="331"/>
      <c r="F326" s="282"/>
      <c r="G326" s="282"/>
      <c r="H326" s="283"/>
      <c r="I326" s="282"/>
      <c r="J326" s="284"/>
      <c r="K326" s="282"/>
      <c r="L326" s="280"/>
      <c r="M326" s="349"/>
      <c r="N326" s="280"/>
      <c r="O326" s="280"/>
      <c r="P326" s="280"/>
      <c r="Q326" s="280"/>
      <c r="R326" s="280"/>
      <c r="S326" s="280"/>
      <c r="T326" s="280"/>
      <c r="U326" s="386"/>
      <c r="V326" s="386"/>
      <c r="W326" s="386"/>
      <c r="X326" s="386"/>
      <c r="Y326" s="386"/>
      <c r="Z326" s="386"/>
      <c r="AA326" s="386"/>
      <c r="AB326" s="386"/>
      <c r="AC326" s="386"/>
    </row>
    <row r="327" ht="15.75" customHeight="1">
      <c r="A327" s="384"/>
      <c r="B327" s="331"/>
      <c r="C327" s="331"/>
      <c r="D327" s="341"/>
      <c r="E327" s="331"/>
      <c r="F327" s="282"/>
      <c r="G327" s="282"/>
      <c r="H327" s="283"/>
      <c r="I327" s="282"/>
      <c r="J327" s="284"/>
      <c r="K327" s="282"/>
      <c r="L327" s="280"/>
      <c r="M327" s="349"/>
      <c r="N327" s="280"/>
      <c r="O327" s="280"/>
      <c r="P327" s="280"/>
      <c r="Q327" s="280"/>
      <c r="R327" s="280"/>
      <c r="S327" s="280"/>
      <c r="T327" s="280"/>
      <c r="U327" s="386"/>
      <c r="V327" s="386"/>
      <c r="W327" s="386"/>
      <c r="X327" s="386"/>
      <c r="Y327" s="386"/>
      <c r="Z327" s="386"/>
      <c r="AA327" s="386"/>
      <c r="AB327" s="386"/>
      <c r="AC327" s="386"/>
    </row>
    <row r="328" ht="15.75" customHeight="1">
      <c r="A328" s="384"/>
      <c r="B328" s="331"/>
      <c r="C328" s="331"/>
      <c r="D328" s="341"/>
      <c r="E328" s="331"/>
      <c r="F328" s="282"/>
      <c r="G328" s="282"/>
      <c r="H328" s="283"/>
      <c r="I328" s="282"/>
      <c r="J328" s="284"/>
      <c r="K328" s="282"/>
      <c r="L328" s="280"/>
      <c r="M328" s="349"/>
      <c r="N328" s="280"/>
      <c r="O328" s="280"/>
      <c r="P328" s="280"/>
      <c r="Q328" s="280"/>
      <c r="R328" s="280"/>
      <c r="S328" s="280"/>
      <c r="T328" s="280"/>
      <c r="U328" s="386"/>
      <c r="V328" s="386"/>
      <c r="W328" s="386"/>
      <c r="X328" s="386"/>
      <c r="Y328" s="386"/>
      <c r="Z328" s="386"/>
      <c r="AA328" s="386"/>
      <c r="AB328" s="386"/>
      <c r="AC328" s="386"/>
    </row>
    <row r="329" ht="15.75" customHeight="1">
      <c r="A329" s="384"/>
      <c r="B329" s="331"/>
      <c r="C329" s="331"/>
      <c r="D329" s="341"/>
      <c r="E329" s="331"/>
      <c r="F329" s="282"/>
      <c r="G329" s="282"/>
      <c r="H329" s="283"/>
      <c r="I329" s="282"/>
      <c r="J329" s="284"/>
      <c r="K329" s="282"/>
      <c r="L329" s="280"/>
      <c r="M329" s="349"/>
      <c r="N329" s="280"/>
      <c r="O329" s="280"/>
      <c r="P329" s="280"/>
      <c r="Q329" s="280"/>
      <c r="R329" s="280"/>
      <c r="S329" s="280"/>
      <c r="T329" s="280"/>
      <c r="U329" s="386"/>
      <c r="V329" s="386"/>
      <c r="W329" s="386"/>
      <c r="X329" s="386"/>
      <c r="Y329" s="386"/>
      <c r="Z329" s="386"/>
      <c r="AA329" s="386"/>
      <c r="AB329" s="386"/>
      <c r="AC329" s="386"/>
    </row>
    <row r="330" ht="15.75" customHeight="1">
      <c r="A330" s="384"/>
      <c r="B330" s="331"/>
      <c r="C330" s="331"/>
      <c r="D330" s="341"/>
      <c r="E330" s="331"/>
      <c r="F330" s="354"/>
      <c r="G330" s="354"/>
      <c r="H330" s="355"/>
      <c r="I330" s="354"/>
      <c r="J330" s="284"/>
      <c r="K330" s="282"/>
      <c r="L330" s="280"/>
      <c r="M330" s="349"/>
      <c r="N330" s="280"/>
      <c r="O330" s="280"/>
      <c r="P330" s="280"/>
      <c r="Q330" s="280"/>
      <c r="R330" s="280"/>
      <c r="S330" s="280"/>
      <c r="T330" s="280"/>
      <c r="U330" s="386"/>
      <c r="V330" s="386"/>
      <c r="W330" s="386"/>
      <c r="X330" s="386"/>
      <c r="Y330" s="386"/>
      <c r="Z330" s="386"/>
      <c r="AA330" s="386"/>
      <c r="AB330" s="386"/>
      <c r="AC330" s="386"/>
    </row>
    <row r="331" ht="15.75" customHeight="1">
      <c r="A331" s="384"/>
      <c r="B331" s="331"/>
      <c r="C331" s="331"/>
      <c r="D331" s="341"/>
      <c r="E331" s="331"/>
      <c r="F331" s="282"/>
      <c r="G331" s="282"/>
      <c r="H331" s="283"/>
      <c r="I331" s="282"/>
      <c r="J331" s="284"/>
      <c r="K331" s="282"/>
      <c r="L331" s="280"/>
      <c r="M331" s="349"/>
      <c r="N331" s="280"/>
      <c r="O331" s="280"/>
      <c r="P331" s="280"/>
      <c r="Q331" s="280"/>
      <c r="R331" s="280"/>
      <c r="S331" s="280"/>
      <c r="T331" s="280"/>
      <c r="U331" s="386"/>
      <c r="V331" s="386"/>
      <c r="W331" s="386"/>
      <c r="X331" s="386"/>
      <c r="Y331" s="386"/>
      <c r="Z331" s="386"/>
      <c r="AA331" s="386"/>
      <c r="AB331" s="386"/>
      <c r="AC331" s="386"/>
    </row>
    <row r="332" ht="15.75" customHeight="1">
      <c r="A332" s="384"/>
      <c r="B332" s="331"/>
      <c r="C332" s="331"/>
      <c r="D332" s="341"/>
      <c r="E332" s="27"/>
      <c r="F332" s="282"/>
      <c r="G332" s="282"/>
      <c r="H332" s="283"/>
      <c r="I332" s="282"/>
      <c r="J332" s="284"/>
      <c r="K332" s="282"/>
      <c r="L332" s="280"/>
      <c r="M332" s="349"/>
      <c r="N332" s="280"/>
      <c r="O332" s="280"/>
      <c r="P332" s="280"/>
      <c r="Q332" s="280"/>
      <c r="R332" s="280"/>
      <c r="S332" s="280"/>
      <c r="T332" s="280"/>
      <c r="U332" s="386"/>
      <c r="V332" s="386"/>
      <c r="W332" s="386"/>
      <c r="X332" s="386"/>
      <c r="Y332" s="386"/>
      <c r="Z332" s="386"/>
      <c r="AA332" s="386"/>
      <c r="AB332" s="386"/>
      <c r="AC332" s="386"/>
    </row>
    <row r="333" ht="15.75" customHeight="1">
      <c r="A333" s="384"/>
      <c r="B333" s="331"/>
      <c r="C333" s="331"/>
      <c r="D333" s="341"/>
      <c r="E333" s="304"/>
      <c r="F333" s="279"/>
      <c r="G333" s="279"/>
      <c r="H333" s="389"/>
      <c r="I333" s="279"/>
      <c r="J333" s="273"/>
      <c r="K333" s="367"/>
      <c r="L333" s="279"/>
      <c r="M333" s="280"/>
      <c r="N333" s="280"/>
      <c r="O333" s="280"/>
      <c r="P333" s="280"/>
      <c r="Q333" s="280"/>
      <c r="R333" s="280"/>
      <c r="S333" s="280"/>
      <c r="T333" s="280"/>
      <c r="U333" s="386"/>
      <c r="V333" s="386"/>
      <c r="W333" s="386"/>
      <c r="X333" s="386"/>
      <c r="Y333" s="386"/>
      <c r="Z333" s="386"/>
      <c r="AA333" s="386"/>
      <c r="AB333" s="386"/>
      <c r="AC333" s="386"/>
    </row>
    <row r="334" ht="15.75" customHeight="1">
      <c r="A334" s="384"/>
      <c r="B334" s="331"/>
      <c r="C334" s="331"/>
      <c r="D334" s="341"/>
      <c r="E334" s="304"/>
      <c r="F334" s="280"/>
      <c r="G334" s="280"/>
      <c r="H334" s="390"/>
      <c r="I334" s="280"/>
      <c r="J334" s="284"/>
      <c r="K334" s="292"/>
      <c r="L334" s="280"/>
      <c r="M334" s="280"/>
      <c r="N334" s="280"/>
      <c r="O334" s="280"/>
      <c r="P334" s="280"/>
      <c r="Q334" s="280"/>
      <c r="R334" s="280"/>
      <c r="S334" s="280"/>
      <c r="T334" s="280"/>
      <c r="U334" s="386"/>
      <c r="V334" s="386"/>
      <c r="W334" s="386"/>
      <c r="X334" s="386"/>
      <c r="Y334" s="386"/>
      <c r="Z334" s="386"/>
      <c r="AA334" s="386"/>
      <c r="AB334" s="386"/>
      <c r="AC334" s="386"/>
    </row>
    <row r="335" ht="15.75" customHeight="1">
      <c r="A335" s="384"/>
      <c r="B335" s="331"/>
      <c r="C335" s="331"/>
      <c r="D335" s="356"/>
      <c r="E335" s="323"/>
      <c r="F335" s="292"/>
      <c r="G335" s="292"/>
      <c r="H335" s="305"/>
      <c r="I335" s="292"/>
      <c r="J335" s="284"/>
      <c r="K335" s="292"/>
      <c r="L335" s="280"/>
      <c r="M335" s="280"/>
      <c r="N335" s="280"/>
      <c r="O335" s="280"/>
      <c r="P335" s="280"/>
      <c r="Q335" s="280"/>
      <c r="R335" s="280"/>
      <c r="S335" s="280"/>
      <c r="T335" s="280"/>
      <c r="U335" s="386"/>
      <c r="V335" s="386"/>
      <c r="W335" s="386"/>
      <c r="X335" s="386"/>
      <c r="Y335" s="386"/>
      <c r="Z335" s="386"/>
      <c r="AA335" s="386"/>
      <c r="AB335" s="386"/>
      <c r="AC335" s="386"/>
    </row>
    <row r="336" ht="15.75" customHeight="1">
      <c r="A336" s="384"/>
      <c r="B336" s="331"/>
      <c r="C336" s="331"/>
      <c r="D336" s="339"/>
      <c r="E336" s="331"/>
      <c r="F336" s="280"/>
      <c r="G336" s="280"/>
      <c r="H336" s="390"/>
      <c r="I336" s="280"/>
      <c r="J336" s="284"/>
      <c r="K336" s="292"/>
      <c r="L336" s="280"/>
      <c r="M336" s="280"/>
      <c r="N336" s="280"/>
      <c r="O336" s="280"/>
      <c r="P336" s="280"/>
      <c r="Q336" s="280"/>
      <c r="R336" s="280"/>
      <c r="S336" s="280"/>
      <c r="T336" s="280"/>
      <c r="U336" s="386"/>
      <c r="V336" s="386"/>
      <c r="W336" s="386"/>
      <c r="X336" s="386"/>
      <c r="Y336" s="386"/>
      <c r="Z336" s="386"/>
      <c r="AA336" s="386"/>
      <c r="AB336" s="386"/>
      <c r="AC336" s="386"/>
    </row>
    <row r="337" ht="15.75" customHeight="1">
      <c r="A337" s="384"/>
      <c r="B337" s="331"/>
      <c r="C337" s="331"/>
      <c r="D337" s="339"/>
      <c r="E337" s="331"/>
      <c r="F337" s="280"/>
      <c r="G337" s="280"/>
      <c r="H337" s="390"/>
      <c r="I337" s="280"/>
      <c r="J337" s="284"/>
      <c r="K337" s="292"/>
      <c r="L337" s="280"/>
      <c r="M337" s="280"/>
      <c r="N337" s="280"/>
      <c r="O337" s="280"/>
      <c r="P337" s="280"/>
      <c r="Q337" s="280"/>
      <c r="R337" s="280"/>
      <c r="S337" s="280"/>
      <c r="T337" s="280"/>
      <c r="U337" s="386"/>
      <c r="V337" s="386"/>
      <c r="W337" s="386"/>
      <c r="X337" s="386"/>
      <c r="Y337" s="386"/>
      <c r="Z337" s="386"/>
      <c r="AA337" s="386"/>
      <c r="AB337" s="386"/>
      <c r="AC337" s="386"/>
    </row>
    <row r="338" ht="15.75" customHeight="1">
      <c r="A338" s="384"/>
      <c r="B338" s="331"/>
      <c r="C338" s="27"/>
      <c r="D338" s="373"/>
      <c r="E338" s="27"/>
      <c r="F338" s="280"/>
      <c r="G338" s="280"/>
      <c r="H338" s="390"/>
      <c r="I338" s="280"/>
      <c r="J338" s="284"/>
      <c r="K338" s="292"/>
      <c r="L338" s="280"/>
      <c r="M338" s="280"/>
      <c r="N338" s="280"/>
      <c r="O338" s="280"/>
      <c r="P338" s="280"/>
      <c r="Q338" s="280"/>
      <c r="R338" s="280"/>
      <c r="S338" s="280"/>
      <c r="T338" s="280"/>
      <c r="U338" s="386"/>
      <c r="V338" s="386"/>
      <c r="W338" s="386"/>
      <c r="X338" s="386"/>
      <c r="Y338" s="386"/>
      <c r="Z338" s="386"/>
      <c r="AA338" s="386"/>
      <c r="AB338" s="386"/>
      <c r="AC338" s="386"/>
    </row>
    <row r="339" ht="15.75" customHeight="1">
      <c r="A339" s="384"/>
      <c r="B339" s="331"/>
      <c r="C339" s="338"/>
      <c r="D339" s="339"/>
      <c r="E339" s="391"/>
      <c r="F339" s="280"/>
      <c r="G339" s="280"/>
      <c r="H339" s="390"/>
      <c r="I339" s="280"/>
      <c r="J339" s="284"/>
      <c r="K339" s="292"/>
      <c r="L339" s="280"/>
      <c r="M339" s="280"/>
      <c r="N339" s="280"/>
      <c r="O339" s="280"/>
      <c r="P339" s="280"/>
      <c r="Q339" s="280"/>
      <c r="R339" s="280"/>
      <c r="S339" s="280"/>
      <c r="T339" s="280"/>
      <c r="U339" s="386"/>
      <c r="V339" s="386"/>
      <c r="W339" s="386"/>
      <c r="X339" s="386"/>
      <c r="Y339" s="386"/>
      <c r="Z339" s="386"/>
      <c r="AA339" s="386"/>
      <c r="AB339" s="386"/>
      <c r="AC339" s="386"/>
    </row>
    <row r="340" ht="15.75" customHeight="1">
      <c r="A340" s="384"/>
      <c r="B340" s="331"/>
      <c r="C340" s="343"/>
      <c r="D340" s="356"/>
      <c r="E340" s="323"/>
      <c r="F340" s="292"/>
      <c r="G340" s="292"/>
      <c r="H340" s="305"/>
      <c r="I340" s="292"/>
      <c r="J340" s="284"/>
      <c r="K340" s="292"/>
      <c r="L340" s="280"/>
      <c r="M340" s="280"/>
      <c r="N340" s="280"/>
      <c r="O340" s="280"/>
      <c r="P340" s="280"/>
      <c r="Q340" s="280"/>
      <c r="R340" s="280"/>
      <c r="S340" s="280"/>
      <c r="T340" s="280"/>
      <c r="U340" s="386"/>
      <c r="V340" s="386"/>
      <c r="W340" s="386"/>
      <c r="X340" s="386"/>
      <c r="Y340" s="386"/>
      <c r="Z340" s="386"/>
      <c r="AA340" s="386"/>
      <c r="AB340" s="386"/>
      <c r="AC340" s="386"/>
    </row>
    <row r="341" ht="15.75" customHeight="1">
      <c r="A341" s="384"/>
      <c r="B341" s="331"/>
      <c r="C341" s="331"/>
      <c r="D341" s="373"/>
      <c r="E341" s="27"/>
      <c r="F341" s="292"/>
      <c r="G341" s="292"/>
      <c r="H341" s="305"/>
      <c r="I341" s="292"/>
      <c r="J341" s="284"/>
      <c r="K341" s="292"/>
      <c r="L341" s="280"/>
      <c r="M341" s="280"/>
      <c r="N341" s="280"/>
      <c r="O341" s="280"/>
      <c r="P341" s="280"/>
      <c r="Q341" s="280"/>
      <c r="R341" s="280"/>
      <c r="S341" s="280"/>
      <c r="T341" s="280"/>
      <c r="U341" s="386"/>
      <c r="V341" s="386"/>
      <c r="W341" s="386"/>
      <c r="X341" s="386"/>
      <c r="Y341" s="386"/>
      <c r="Z341" s="386"/>
      <c r="AA341" s="386"/>
      <c r="AB341" s="386"/>
      <c r="AC341" s="386"/>
    </row>
    <row r="342" ht="15.75" customHeight="1">
      <c r="A342" s="384"/>
      <c r="B342" s="331"/>
      <c r="C342" s="331"/>
      <c r="D342" s="341"/>
      <c r="E342" s="323"/>
      <c r="F342" s="292"/>
      <c r="G342" s="292"/>
      <c r="H342" s="305"/>
      <c r="I342" s="292"/>
      <c r="J342" s="284"/>
      <c r="K342" s="292"/>
      <c r="L342" s="280"/>
      <c r="M342" s="280"/>
      <c r="N342" s="280"/>
      <c r="O342" s="280"/>
      <c r="P342" s="280"/>
      <c r="Q342" s="280"/>
      <c r="R342" s="280"/>
      <c r="S342" s="280"/>
      <c r="T342" s="280"/>
      <c r="U342" s="386"/>
      <c r="V342" s="386"/>
      <c r="W342" s="386"/>
      <c r="X342" s="386"/>
      <c r="Y342" s="386"/>
      <c r="Z342" s="386"/>
      <c r="AA342" s="386"/>
      <c r="AB342" s="386"/>
      <c r="AC342" s="386"/>
    </row>
    <row r="343" ht="15.75" customHeight="1">
      <c r="A343" s="384"/>
      <c r="B343" s="331"/>
      <c r="C343" s="27"/>
      <c r="D343" s="341"/>
      <c r="E343" s="27"/>
      <c r="F343" s="292"/>
      <c r="G343" s="292"/>
      <c r="H343" s="305"/>
      <c r="I343" s="292"/>
      <c r="J343" s="284"/>
      <c r="K343" s="292"/>
      <c r="L343" s="280"/>
      <c r="M343" s="280"/>
      <c r="N343" s="280"/>
      <c r="O343" s="280"/>
      <c r="P343" s="280"/>
      <c r="Q343" s="280"/>
      <c r="R343" s="280"/>
      <c r="S343" s="280"/>
      <c r="T343" s="280"/>
      <c r="U343" s="386"/>
      <c r="V343" s="386"/>
      <c r="W343" s="386"/>
      <c r="X343" s="386"/>
      <c r="Y343" s="386"/>
      <c r="Z343" s="386"/>
      <c r="AA343" s="386"/>
      <c r="AB343" s="386"/>
      <c r="AC343" s="386"/>
    </row>
    <row r="344" ht="15.75" customHeight="1">
      <c r="A344" s="384"/>
      <c r="B344" s="331"/>
      <c r="C344" s="338"/>
      <c r="D344" s="341"/>
      <c r="E344" s="304"/>
      <c r="F344" s="280"/>
      <c r="G344" s="280"/>
      <c r="H344" s="390"/>
      <c r="I344" s="280"/>
      <c r="J344" s="284"/>
      <c r="K344" s="292"/>
      <c r="L344" s="280"/>
      <c r="M344" s="280"/>
      <c r="N344" s="280"/>
      <c r="O344" s="280"/>
      <c r="P344" s="280"/>
      <c r="Q344" s="280"/>
      <c r="R344" s="280"/>
      <c r="S344" s="280"/>
      <c r="T344" s="280"/>
      <c r="U344" s="386"/>
      <c r="V344" s="386"/>
      <c r="W344" s="386"/>
      <c r="X344" s="386"/>
      <c r="Y344" s="386"/>
      <c r="Z344" s="386"/>
      <c r="AA344" s="386"/>
      <c r="AB344" s="386"/>
      <c r="AC344" s="386"/>
    </row>
    <row r="345" ht="15.75" customHeight="1">
      <c r="A345" s="384"/>
      <c r="B345" s="331"/>
      <c r="C345" s="343"/>
      <c r="D345" s="356"/>
      <c r="E345" s="323"/>
      <c r="F345" s="292"/>
      <c r="G345" s="292"/>
      <c r="H345" s="305"/>
      <c r="I345" s="292"/>
      <c r="J345" s="284"/>
      <c r="K345" s="292"/>
      <c r="L345" s="280"/>
      <c r="M345" s="280"/>
      <c r="N345" s="280"/>
      <c r="O345" s="280"/>
      <c r="P345" s="280"/>
      <c r="Q345" s="280"/>
      <c r="R345" s="280"/>
      <c r="S345" s="280"/>
      <c r="T345" s="280"/>
      <c r="U345" s="386"/>
      <c r="V345" s="386"/>
      <c r="W345" s="386"/>
      <c r="X345" s="386"/>
      <c r="Y345" s="386"/>
      <c r="Z345" s="386"/>
      <c r="AA345" s="386"/>
      <c r="AB345" s="386"/>
      <c r="AC345" s="386"/>
    </row>
    <row r="346" ht="15.75" customHeight="1">
      <c r="A346" s="384"/>
      <c r="B346" s="331"/>
      <c r="C346" s="331"/>
      <c r="D346" s="339"/>
      <c r="E346" s="331"/>
      <c r="F346" s="292"/>
      <c r="G346" s="292"/>
      <c r="H346" s="305"/>
      <c r="I346" s="292"/>
      <c r="J346" s="284"/>
      <c r="K346" s="292"/>
      <c r="L346" s="280"/>
      <c r="M346" s="280"/>
      <c r="N346" s="280"/>
      <c r="O346" s="280"/>
      <c r="P346" s="280"/>
      <c r="Q346" s="280"/>
      <c r="R346" s="280"/>
      <c r="S346" s="280"/>
      <c r="T346" s="280"/>
      <c r="U346" s="386"/>
      <c r="V346" s="386"/>
      <c r="W346" s="386"/>
      <c r="X346" s="386"/>
      <c r="Y346" s="386"/>
      <c r="Z346" s="386"/>
      <c r="AA346" s="386"/>
      <c r="AB346" s="386"/>
      <c r="AC346" s="386"/>
    </row>
    <row r="347" ht="15.75" customHeight="1">
      <c r="A347" s="384"/>
      <c r="B347" s="331"/>
      <c r="C347" s="331"/>
      <c r="D347" s="339"/>
      <c r="E347" s="331"/>
      <c r="F347" s="292"/>
      <c r="G347" s="292"/>
      <c r="H347" s="305"/>
      <c r="I347" s="292"/>
      <c r="J347" s="284"/>
      <c r="K347" s="292"/>
      <c r="L347" s="280"/>
      <c r="M347" s="280"/>
      <c r="N347" s="280"/>
      <c r="O347" s="280"/>
      <c r="P347" s="280"/>
      <c r="Q347" s="280"/>
      <c r="R347" s="280"/>
      <c r="S347" s="280"/>
      <c r="T347" s="280"/>
      <c r="U347" s="386"/>
      <c r="V347" s="386"/>
      <c r="W347" s="386"/>
      <c r="X347" s="386"/>
      <c r="Y347" s="386"/>
      <c r="Z347" s="386"/>
      <c r="AA347" s="386"/>
      <c r="AB347" s="386"/>
      <c r="AC347" s="386"/>
    </row>
    <row r="348" ht="15.75" customHeight="1">
      <c r="A348" s="384"/>
      <c r="B348" s="331"/>
      <c r="C348" s="331"/>
      <c r="D348" s="339"/>
      <c r="E348" s="331"/>
      <c r="F348" s="292"/>
      <c r="G348" s="292"/>
      <c r="H348" s="305"/>
      <c r="I348" s="292"/>
      <c r="J348" s="284"/>
      <c r="K348" s="292"/>
      <c r="L348" s="280"/>
      <c r="M348" s="280"/>
      <c r="N348" s="280"/>
      <c r="O348" s="280"/>
      <c r="P348" s="280"/>
      <c r="Q348" s="280"/>
      <c r="R348" s="280"/>
      <c r="S348" s="280"/>
      <c r="T348" s="280"/>
      <c r="U348" s="386"/>
      <c r="V348" s="386"/>
      <c r="W348" s="386"/>
      <c r="X348" s="386"/>
      <c r="Y348" s="386"/>
      <c r="Z348" s="386"/>
      <c r="AA348" s="386"/>
      <c r="AB348" s="386"/>
      <c r="AC348" s="386"/>
    </row>
    <row r="349" ht="15.75" customHeight="1">
      <c r="A349" s="384"/>
      <c r="B349" s="331"/>
      <c r="C349" s="331"/>
      <c r="D349" s="339"/>
      <c r="E349" s="331"/>
      <c r="F349" s="282"/>
      <c r="G349" s="282"/>
      <c r="H349" s="283"/>
      <c r="I349" s="282"/>
      <c r="J349" s="284"/>
      <c r="K349" s="292"/>
      <c r="L349" s="280"/>
      <c r="M349" s="280"/>
      <c r="N349" s="280"/>
      <c r="O349" s="280"/>
      <c r="P349" s="280"/>
      <c r="Q349" s="280"/>
      <c r="R349" s="280"/>
      <c r="S349" s="280"/>
      <c r="T349" s="280"/>
      <c r="U349" s="386"/>
      <c r="V349" s="386"/>
      <c r="W349" s="386"/>
      <c r="X349" s="386"/>
      <c r="Y349" s="386"/>
      <c r="Z349" s="386"/>
      <c r="AA349" s="386"/>
      <c r="AB349" s="386"/>
      <c r="AC349" s="386"/>
    </row>
    <row r="350" ht="15.75" customHeight="1">
      <c r="A350" s="384"/>
      <c r="B350" s="331"/>
      <c r="C350" s="331"/>
      <c r="D350" s="373"/>
      <c r="E350" s="27"/>
      <c r="F350" s="282"/>
      <c r="G350" s="282"/>
      <c r="H350" s="283"/>
      <c r="I350" s="282"/>
      <c r="J350" s="284"/>
      <c r="K350" s="292"/>
      <c r="L350" s="280"/>
      <c r="M350" s="280"/>
      <c r="N350" s="280"/>
      <c r="O350" s="280"/>
      <c r="P350" s="280"/>
      <c r="Q350" s="280"/>
      <c r="R350" s="280"/>
      <c r="S350" s="280"/>
      <c r="T350" s="280"/>
      <c r="U350" s="386"/>
      <c r="V350" s="386"/>
      <c r="W350" s="386"/>
      <c r="X350" s="386"/>
      <c r="Y350" s="386"/>
      <c r="Z350" s="386"/>
      <c r="AA350" s="386"/>
      <c r="AB350" s="386"/>
      <c r="AC350" s="386"/>
    </row>
    <row r="351" ht="15.75" customHeight="1">
      <c r="A351" s="384"/>
      <c r="B351" s="331"/>
      <c r="C351" s="331"/>
      <c r="D351" s="356"/>
      <c r="E351" s="323"/>
      <c r="F351" s="292"/>
      <c r="G351" s="292"/>
      <c r="H351" s="305"/>
      <c r="I351" s="292"/>
      <c r="J351" s="284"/>
      <c r="K351" s="292"/>
      <c r="L351" s="280"/>
      <c r="M351" s="280"/>
      <c r="N351" s="280"/>
      <c r="O351" s="280"/>
      <c r="P351" s="280"/>
      <c r="Q351" s="280"/>
      <c r="R351" s="280"/>
      <c r="S351" s="280"/>
      <c r="T351" s="280"/>
      <c r="U351" s="386"/>
      <c r="V351" s="386"/>
      <c r="W351" s="386"/>
      <c r="X351" s="386"/>
      <c r="Y351" s="386"/>
      <c r="Z351" s="386"/>
      <c r="AA351" s="386"/>
      <c r="AB351" s="386"/>
      <c r="AC351" s="386"/>
    </row>
    <row r="352" ht="15.75" customHeight="1">
      <c r="A352" s="384"/>
      <c r="B352" s="331"/>
      <c r="C352" s="331"/>
      <c r="D352" s="339"/>
      <c r="E352" s="331"/>
      <c r="F352" s="280"/>
      <c r="G352" s="280"/>
      <c r="H352" s="390"/>
      <c r="I352" s="280"/>
      <c r="J352" s="284"/>
      <c r="K352" s="292"/>
      <c r="L352" s="280"/>
      <c r="M352" s="280"/>
      <c r="N352" s="280"/>
      <c r="O352" s="280"/>
      <c r="P352" s="280"/>
      <c r="Q352" s="280"/>
      <c r="R352" s="280"/>
      <c r="S352" s="280"/>
      <c r="T352" s="280"/>
      <c r="U352" s="386"/>
      <c r="V352" s="386"/>
      <c r="W352" s="386"/>
      <c r="X352" s="386"/>
      <c r="Y352" s="386"/>
      <c r="Z352" s="386"/>
      <c r="AA352" s="386"/>
      <c r="AB352" s="386"/>
      <c r="AC352" s="386"/>
    </row>
    <row r="353" ht="15.75" customHeight="1">
      <c r="A353" s="384"/>
      <c r="B353" s="331"/>
      <c r="C353" s="331"/>
      <c r="D353" s="339"/>
      <c r="E353" s="331"/>
      <c r="F353" s="280"/>
      <c r="G353" s="280"/>
      <c r="H353" s="390"/>
      <c r="I353" s="280"/>
      <c r="J353" s="284"/>
      <c r="K353" s="292"/>
      <c r="L353" s="280"/>
      <c r="M353" s="280"/>
      <c r="N353" s="280"/>
      <c r="O353" s="280"/>
      <c r="P353" s="280"/>
      <c r="Q353" s="280"/>
      <c r="R353" s="280"/>
      <c r="S353" s="280"/>
      <c r="T353" s="280"/>
      <c r="U353" s="386"/>
      <c r="V353" s="386"/>
      <c r="W353" s="386"/>
      <c r="X353" s="386"/>
      <c r="Y353" s="386"/>
      <c r="Z353" s="386"/>
      <c r="AA353" s="386"/>
      <c r="AB353" s="386"/>
      <c r="AC353" s="386"/>
    </row>
    <row r="354" ht="15.75" customHeight="1">
      <c r="A354" s="384"/>
      <c r="B354" s="27"/>
      <c r="C354" s="27"/>
      <c r="D354" s="373"/>
      <c r="E354" s="27"/>
      <c r="F354" s="280"/>
      <c r="G354" s="280"/>
      <c r="H354" s="390"/>
      <c r="I354" s="280"/>
      <c r="J354" s="284"/>
      <c r="K354" s="292"/>
      <c r="L354" s="280"/>
      <c r="M354" s="280"/>
      <c r="N354" s="280"/>
      <c r="O354" s="280"/>
      <c r="P354" s="280"/>
      <c r="Q354" s="280"/>
      <c r="R354" s="280"/>
      <c r="S354" s="280"/>
      <c r="T354" s="280"/>
      <c r="U354" s="386"/>
      <c r="V354" s="386"/>
      <c r="W354" s="386"/>
      <c r="X354" s="386"/>
      <c r="Y354" s="386"/>
      <c r="Z354" s="386"/>
      <c r="AA354" s="386"/>
      <c r="AB354" s="386"/>
      <c r="AC354" s="386"/>
    </row>
    <row r="355" ht="15.75" customHeight="1">
      <c r="A355" s="384"/>
      <c r="B355" s="392"/>
      <c r="C355" s="338"/>
      <c r="D355" s="393"/>
      <c r="E355" s="304"/>
      <c r="F355" s="280"/>
      <c r="G355" s="280"/>
      <c r="H355" s="390"/>
      <c r="I355" s="280"/>
      <c r="J355" s="284"/>
      <c r="K355" s="292"/>
      <c r="L355" s="280"/>
      <c r="M355" s="280"/>
      <c r="N355" s="280"/>
      <c r="O355" s="280"/>
      <c r="P355" s="280"/>
      <c r="Q355" s="280"/>
      <c r="R355" s="280"/>
      <c r="S355" s="280"/>
      <c r="T355" s="280"/>
      <c r="U355" s="386"/>
      <c r="V355" s="386"/>
      <c r="W355" s="386"/>
      <c r="X355" s="386"/>
      <c r="Y355" s="386"/>
      <c r="Z355" s="386"/>
      <c r="AA355" s="386"/>
      <c r="AB355" s="386"/>
      <c r="AC355" s="386"/>
    </row>
    <row r="356" ht="15.75" customHeight="1">
      <c r="A356" s="384"/>
      <c r="B356" s="392"/>
      <c r="C356" s="338"/>
      <c r="D356" s="393"/>
      <c r="E356" s="304"/>
      <c r="F356" s="280"/>
      <c r="G356" s="280"/>
      <c r="H356" s="390"/>
      <c r="I356" s="280"/>
      <c r="J356" s="284"/>
      <c r="K356" s="292"/>
      <c r="L356" s="280"/>
      <c r="M356" s="280"/>
      <c r="N356" s="280"/>
      <c r="O356" s="280"/>
      <c r="P356" s="280"/>
      <c r="Q356" s="280"/>
      <c r="R356" s="280"/>
      <c r="S356" s="280"/>
      <c r="T356" s="280"/>
      <c r="U356" s="386"/>
      <c r="V356" s="386"/>
      <c r="W356" s="386"/>
      <c r="X356" s="386"/>
      <c r="Y356" s="386"/>
      <c r="Z356" s="386"/>
      <c r="AA356" s="386"/>
      <c r="AB356" s="386"/>
      <c r="AC356" s="386"/>
    </row>
    <row r="357" ht="15.75" customHeight="1">
      <c r="A357" s="384"/>
      <c r="B357" s="392"/>
      <c r="C357" s="338"/>
      <c r="D357" s="393"/>
      <c r="E357" s="304"/>
      <c r="F357" s="280"/>
      <c r="G357" s="280"/>
      <c r="H357" s="390"/>
      <c r="I357" s="280"/>
      <c r="J357" s="284"/>
      <c r="K357" s="292"/>
      <c r="L357" s="280"/>
      <c r="M357" s="280"/>
      <c r="N357" s="280"/>
      <c r="O357" s="280"/>
      <c r="P357" s="280"/>
      <c r="Q357" s="280"/>
      <c r="R357" s="280"/>
      <c r="S357" s="280"/>
      <c r="T357" s="280"/>
      <c r="U357" s="386"/>
      <c r="V357" s="386"/>
      <c r="W357" s="386"/>
      <c r="X357" s="386"/>
      <c r="Y357" s="386"/>
      <c r="Z357" s="386"/>
      <c r="AA357" s="386"/>
      <c r="AB357" s="386"/>
      <c r="AC357" s="386"/>
    </row>
    <row r="358" ht="15.75" customHeight="1">
      <c r="A358" s="336"/>
      <c r="B358" s="337"/>
      <c r="C358" s="338"/>
      <c r="D358" s="338"/>
      <c r="E358" s="304"/>
      <c r="F358" s="280"/>
      <c r="G358" s="280"/>
      <c r="H358" s="390"/>
      <c r="I358" s="280"/>
      <c r="J358" s="284"/>
      <c r="K358" s="292"/>
      <c r="L358" s="280"/>
      <c r="M358" s="315"/>
      <c r="N358" s="73"/>
      <c r="O358" s="73"/>
      <c r="P358" s="73"/>
      <c r="Q358" s="73"/>
      <c r="R358" s="73"/>
      <c r="S358" s="73"/>
      <c r="T358" s="73"/>
      <c r="U358" s="58"/>
      <c r="V358" s="58"/>
      <c r="W358" s="58"/>
      <c r="X358" s="58"/>
      <c r="Y358" s="58"/>
      <c r="Z358" s="58"/>
      <c r="AA358" s="58"/>
      <c r="AB358" s="58"/>
      <c r="AC358" s="58"/>
    </row>
    <row r="359" ht="15.75" customHeight="1">
      <c r="A359" s="336"/>
      <c r="B359" s="337"/>
      <c r="C359" s="338"/>
      <c r="D359" s="338"/>
      <c r="E359" s="304"/>
      <c r="F359" s="280"/>
      <c r="G359" s="280"/>
      <c r="H359" s="390"/>
      <c r="I359" s="280"/>
      <c r="J359" s="284"/>
      <c r="K359" s="292"/>
      <c r="L359" s="280"/>
      <c r="M359" s="315"/>
      <c r="N359" s="73"/>
      <c r="O359" s="73"/>
      <c r="P359" s="73"/>
      <c r="Q359" s="73"/>
      <c r="R359" s="73"/>
      <c r="S359" s="73"/>
      <c r="T359" s="73"/>
      <c r="U359" s="58"/>
      <c r="V359" s="58"/>
      <c r="W359" s="58"/>
      <c r="X359" s="58"/>
      <c r="Y359" s="58"/>
      <c r="Z359" s="58"/>
      <c r="AA359" s="58"/>
      <c r="AB359" s="58"/>
      <c r="AC359" s="58"/>
    </row>
    <row r="360" ht="15.75" customHeight="1">
      <c r="A360" s="336"/>
      <c r="B360" s="337"/>
      <c r="C360" s="338"/>
      <c r="D360" s="338"/>
      <c r="E360" s="304"/>
      <c r="F360" s="280"/>
      <c r="G360" s="280"/>
      <c r="H360" s="390"/>
      <c r="I360" s="280"/>
      <c r="J360" s="284"/>
      <c r="K360" s="292"/>
      <c r="L360" s="280"/>
      <c r="M360" s="315"/>
      <c r="N360" s="73"/>
      <c r="O360" s="73"/>
      <c r="P360" s="73"/>
      <c r="Q360" s="73"/>
      <c r="R360" s="73"/>
      <c r="S360" s="73"/>
      <c r="T360" s="73"/>
      <c r="U360" s="58"/>
      <c r="V360" s="58"/>
      <c r="W360" s="58"/>
      <c r="X360" s="58"/>
      <c r="Y360" s="58"/>
      <c r="Z360" s="58"/>
      <c r="AA360" s="58"/>
      <c r="AB360" s="58"/>
      <c r="AC360" s="58"/>
    </row>
    <row r="361" ht="15.75" customHeight="1">
      <c r="A361" s="336"/>
      <c r="B361" s="337"/>
      <c r="C361" s="338"/>
      <c r="D361" s="338"/>
      <c r="E361" s="304"/>
      <c r="F361" s="280"/>
      <c r="G361" s="280"/>
      <c r="H361" s="390"/>
      <c r="I361" s="280"/>
      <c r="J361" s="284"/>
      <c r="K361" s="292"/>
      <c r="L361" s="280"/>
      <c r="M361" s="315"/>
      <c r="N361" s="73"/>
      <c r="O361" s="73"/>
      <c r="P361" s="73"/>
      <c r="Q361" s="73"/>
      <c r="R361" s="73"/>
      <c r="S361" s="73"/>
      <c r="T361" s="73"/>
      <c r="U361" s="58"/>
      <c r="V361" s="58"/>
      <c r="W361" s="58"/>
      <c r="X361" s="58"/>
      <c r="Y361" s="58"/>
      <c r="Z361" s="58"/>
      <c r="AA361" s="58"/>
      <c r="AB361" s="58"/>
      <c r="AC361" s="58"/>
    </row>
    <row r="362" ht="15.75" customHeight="1">
      <c r="A362" s="336"/>
      <c r="B362" s="337"/>
      <c r="C362" s="338"/>
      <c r="D362" s="341"/>
      <c r="E362" s="304"/>
      <c r="F362" s="280"/>
      <c r="G362" s="280"/>
      <c r="H362" s="390"/>
      <c r="I362" s="280"/>
      <c r="J362" s="284"/>
      <c r="K362" s="292"/>
      <c r="L362" s="280"/>
      <c r="M362" s="315"/>
      <c r="N362" s="73"/>
      <c r="O362" s="73"/>
      <c r="P362" s="73"/>
      <c r="Q362" s="73"/>
      <c r="R362" s="73"/>
      <c r="S362" s="73"/>
      <c r="T362" s="73"/>
      <c r="U362" s="58"/>
      <c r="V362" s="58"/>
      <c r="W362" s="58"/>
      <c r="X362" s="58"/>
      <c r="Y362" s="58"/>
      <c r="Z362" s="58"/>
      <c r="AA362" s="58"/>
      <c r="AB362" s="58"/>
      <c r="AC362" s="58"/>
    </row>
    <row r="363" ht="15.75" customHeight="1">
      <c r="A363" s="336"/>
      <c r="B363" s="337"/>
      <c r="C363" s="338"/>
      <c r="D363" s="341"/>
      <c r="E363" s="304"/>
      <c r="F363" s="280"/>
      <c r="G363" s="280"/>
      <c r="H363" s="390"/>
      <c r="I363" s="280"/>
      <c r="J363" s="284"/>
      <c r="K363" s="292"/>
      <c r="L363" s="280"/>
      <c r="M363" s="315"/>
      <c r="N363" s="73"/>
      <c r="O363" s="73"/>
      <c r="P363" s="73"/>
      <c r="Q363" s="73"/>
      <c r="R363" s="73"/>
      <c r="S363" s="73"/>
      <c r="T363" s="73"/>
      <c r="U363" s="58"/>
      <c r="V363" s="58"/>
      <c r="W363" s="58"/>
      <c r="X363" s="58"/>
      <c r="Y363" s="58"/>
      <c r="Z363" s="58"/>
      <c r="AA363" s="58"/>
      <c r="AB363" s="58"/>
      <c r="AC363" s="58"/>
    </row>
    <row r="364" ht="15.75" customHeight="1">
      <c r="A364" s="336"/>
      <c r="B364" s="337"/>
      <c r="C364" s="338"/>
      <c r="D364" s="341"/>
      <c r="E364" s="304"/>
      <c r="F364" s="280"/>
      <c r="G364" s="280"/>
      <c r="H364" s="390"/>
      <c r="I364" s="280"/>
      <c r="J364" s="284"/>
      <c r="K364" s="292"/>
      <c r="L364" s="280"/>
      <c r="M364" s="315"/>
      <c r="N364" s="73"/>
      <c r="O364" s="73"/>
      <c r="P364" s="73"/>
      <c r="Q364" s="73"/>
      <c r="R364" s="73"/>
      <c r="S364" s="73"/>
      <c r="T364" s="73"/>
      <c r="U364" s="58"/>
      <c r="V364" s="58"/>
      <c r="W364" s="58"/>
      <c r="X364" s="58"/>
      <c r="Y364" s="58"/>
      <c r="Z364" s="58"/>
      <c r="AA364" s="58"/>
      <c r="AB364" s="58"/>
      <c r="AC364" s="58"/>
    </row>
    <row r="365" ht="15.75" customHeight="1">
      <c r="A365" s="336"/>
      <c r="B365" s="337"/>
      <c r="C365" s="338"/>
      <c r="D365" s="341"/>
      <c r="E365" s="304"/>
      <c r="F365" s="280"/>
      <c r="G365" s="280"/>
      <c r="H365" s="390"/>
      <c r="I365" s="280"/>
      <c r="J365" s="284"/>
      <c r="K365" s="292"/>
      <c r="L365" s="280"/>
      <c r="M365" s="315"/>
      <c r="N365" s="73"/>
      <c r="O365" s="73"/>
      <c r="P365" s="73"/>
      <c r="Q365" s="73"/>
      <c r="R365" s="73"/>
      <c r="S365" s="73"/>
      <c r="T365" s="73"/>
      <c r="U365" s="58"/>
      <c r="V365" s="58"/>
      <c r="W365" s="58"/>
      <c r="X365" s="58"/>
      <c r="Y365" s="58"/>
      <c r="Z365" s="58"/>
      <c r="AA365" s="58"/>
      <c r="AB365" s="58"/>
      <c r="AC365" s="58"/>
    </row>
    <row r="366" ht="15.75" customHeight="1">
      <c r="A366" s="336"/>
      <c r="B366" s="337"/>
      <c r="C366" s="338"/>
      <c r="D366" s="341"/>
      <c r="E366" s="304"/>
      <c r="F366" s="280"/>
      <c r="G366" s="280"/>
      <c r="H366" s="390"/>
      <c r="I366" s="280"/>
      <c r="J366" s="284"/>
      <c r="K366" s="292"/>
      <c r="L366" s="280"/>
      <c r="M366" s="315"/>
      <c r="N366" s="73"/>
      <c r="O366" s="73"/>
      <c r="P366" s="73"/>
      <c r="Q366" s="73"/>
      <c r="R366" s="73"/>
      <c r="S366" s="73"/>
      <c r="T366" s="73"/>
      <c r="U366" s="58"/>
      <c r="V366" s="58"/>
      <c r="W366" s="58"/>
      <c r="X366" s="58"/>
      <c r="Y366" s="58"/>
      <c r="Z366" s="58"/>
      <c r="AA366" s="58"/>
      <c r="AB366" s="58"/>
      <c r="AC366" s="58"/>
    </row>
    <row r="367" ht="15.75" customHeight="1">
      <c r="A367" s="394"/>
      <c r="B367" s="395"/>
      <c r="C367" s="396"/>
      <c r="D367" s="397"/>
      <c r="E367" s="398"/>
      <c r="F367" s="399"/>
      <c r="G367" s="399"/>
      <c r="H367" s="400"/>
      <c r="I367" s="399"/>
      <c r="J367" s="401"/>
      <c r="K367" s="399"/>
      <c r="L367" s="315"/>
      <c r="M367" s="315"/>
      <c r="N367" s="73"/>
      <c r="O367" s="73"/>
      <c r="P367" s="73"/>
      <c r="Q367" s="73"/>
      <c r="R367" s="73"/>
      <c r="S367" s="73"/>
      <c r="T367" s="73"/>
      <c r="U367" s="58"/>
      <c r="V367" s="58"/>
      <c r="W367" s="58"/>
      <c r="X367" s="58"/>
      <c r="Y367" s="58"/>
      <c r="Z367" s="58"/>
      <c r="AA367" s="58"/>
      <c r="AB367" s="58"/>
      <c r="AC367" s="58"/>
    </row>
    <row r="368" ht="15.75" customHeight="1">
      <c r="A368" s="394"/>
      <c r="B368" s="395"/>
      <c r="C368" s="396"/>
      <c r="D368" s="397"/>
      <c r="E368" s="398"/>
      <c r="F368" s="399"/>
      <c r="G368" s="399"/>
      <c r="H368" s="400"/>
      <c r="I368" s="399"/>
      <c r="J368" s="401"/>
      <c r="K368" s="399"/>
      <c r="L368" s="315"/>
      <c r="M368" s="315"/>
      <c r="N368" s="73"/>
      <c r="O368" s="73"/>
      <c r="P368" s="73"/>
      <c r="Q368" s="73"/>
      <c r="R368" s="73"/>
      <c r="S368" s="73"/>
      <c r="T368" s="73"/>
      <c r="U368" s="58"/>
      <c r="V368" s="58"/>
      <c r="W368" s="58"/>
      <c r="X368" s="58"/>
      <c r="Y368" s="58"/>
      <c r="Z368" s="58"/>
      <c r="AA368" s="58"/>
      <c r="AB368" s="58"/>
      <c r="AC368" s="58"/>
    </row>
    <row r="369" ht="15.75" customHeight="1">
      <c r="A369" s="394"/>
      <c r="B369" s="395"/>
      <c r="C369" s="396"/>
      <c r="D369" s="397"/>
      <c r="E369" s="398"/>
      <c r="F369" s="399"/>
      <c r="G369" s="399"/>
      <c r="H369" s="400"/>
      <c r="I369" s="399"/>
      <c r="J369" s="401"/>
      <c r="K369" s="399"/>
      <c r="L369" s="315"/>
      <c r="M369" s="315"/>
      <c r="N369" s="73"/>
      <c r="O369" s="73"/>
      <c r="P369" s="73"/>
      <c r="Q369" s="73"/>
      <c r="R369" s="73"/>
      <c r="S369" s="73"/>
      <c r="T369" s="73"/>
      <c r="U369" s="58"/>
      <c r="V369" s="58"/>
      <c r="W369" s="58"/>
      <c r="X369" s="58"/>
      <c r="Y369" s="58"/>
      <c r="Z369" s="58"/>
      <c r="AA369" s="58"/>
      <c r="AB369" s="58"/>
      <c r="AC369" s="58"/>
    </row>
    <row r="370" ht="15.75" customHeight="1">
      <c r="A370" s="394"/>
      <c r="B370" s="395"/>
      <c r="C370" s="396"/>
      <c r="D370" s="397"/>
      <c r="E370" s="398"/>
      <c r="F370" s="399"/>
      <c r="G370" s="399"/>
      <c r="H370" s="400"/>
      <c r="I370" s="399"/>
      <c r="J370" s="401"/>
      <c r="K370" s="399"/>
      <c r="L370" s="315"/>
      <c r="M370" s="315"/>
      <c r="N370" s="73"/>
      <c r="O370" s="73"/>
      <c r="P370" s="73"/>
      <c r="Q370" s="73"/>
      <c r="R370" s="73"/>
      <c r="S370" s="73"/>
      <c r="T370" s="73"/>
      <c r="U370" s="58"/>
      <c r="V370" s="58"/>
      <c r="W370" s="58"/>
      <c r="X370" s="58"/>
      <c r="Y370" s="58"/>
      <c r="Z370" s="58"/>
      <c r="AA370" s="58"/>
      <c r="AB370" s="58"/>
      <c r="AC370" s="58"/>
    </row>
    <row r="371" ht="15.75" customHeight="1">
      <c r="A371" s="394"/>
      <c r="B371" s="395"/>
      <c r="C371" s="396"/>
      <c r="D371" s="397"/>
      <c r="E371" s="398"/>
      <c r="F371" s="315"/>
      <c r="G371" s="315"/>
      <c r="H371" s="402"/>
      <c r="I371" s="315"/>
      <c r="J371" s="401"/>
      <c r="K371" s="399"/>
      <c r="L371" s="315"/>
      <c r="M371" s="315"/>
      <c r="N371" s="73"/>
      <c r="O371" s="73"/>
      <c r="P371" s="73"/>
      <c r="Q371" s="73"/>
      <c r="R371" s="73"/>
      <c r="S371" s="73"/>
      <c r="T371" s="73"/>
      <c r="U371" s="58"/>
      <c r="V371" s="58"/>
      <c r="W371" s="58"/>
      <c r="X371" s="58"/>
      <c r="Y371" s="58"/>
      <c r="Z371" s="58"/>
      <c r="AA371" s="58"/>
      <c r="AB371" s="58"/>
      <c r="AC371" s="58"/>
    </row>
    <row r="372" ht="15.75" customHeight="1">
      <c r="A372" s="394"/>
      <c r="B372" s="395"/>
      <c r="C372" s="396"/>
      <c r="D372" s="397"/>
      <c r="E372" s="398"/>
      <c r="F372" s="315"/>
      <c r="G372" s="315"/>
      <c r="H372" s="402"/>
      <c r="I372" s="315"/>
      <c r="J372" s="401"/>
      <c r="K372" s="399"/>
      <c r="L372" s="315"/>
      <c r="M372" s="315"/>
      <c r="N372" s="73"/>
      <c r="O372" s="73"/>
      <c r="P372" s="73"/>
      <c r="Q372" s="73"/>
      <c r="R372" s="73"/>
      <c r="S372" s="73"/>
      <c r="T372" s="73"/>
      <c r="U372" s="58"/>
      <c r="V372" s="58"/>
      <c r="W372" s="58"/>
      <c r="X372" s="58"/>
      <c r="Y372" s="58"/>
      <c r="Z372" s="58"/>
      <c r="AA372" s="58"/>
      <c r="AB372" s="58"/>
      <c r="AC372" s="58"/>
    </row>
    <row r="373" ht="15.75" customHeight="1">
      <c r="A373" s="394"/>
      <c r="B373" s="395"/>
      <c r="C373" s="396"/>
      <c r="D373" s="397"/>
      <c r="E373" s="398"/>
      <c r="F373" s="315"/>
      <c r="G373" s="315"/>
      <c r="H373" s="402"/>
      <c r="I373" s="315"/>
      <c r="J373" s="401"/>
      <c r="K373" s="399"/>
      <c r="L373" s="315"/>
      <c r="M373" s="315"/>
      <c r="N373" s="73"/>
      <c r="O373" s="73"/>
      <c r="P373" s="73"/>
      <c r="Q373" s="73"/>
      <c r="R373" s="73"/>
      <c r="S373" s="73"/>
      <c r="T373" s="73"/>
      <c r="U373" s="58"/>
      <c r="V373" s="58"/>
      <c r="W373" s="58"/>
      <c r="X373" s="58"/>
      <c r="Y373" s="58"/>
      <c r="Z373" s="58"/>
      <c r="AA373" s="58"/>
      <c r="AB373" s="58"/>
      <c r="AC373" s="58"/>
    </row>
    <row r="374" ht="15.75" customHeight="1">
      <c r="A374" s="403"/>
      <c r="B374" s="404"/>
      <c r="C374" s="396"/>
      <c r="D374" s="405"/>
      <c r="E374" s="398"/>
      <c r="F374" s="315"/>
      <c r="G374" s="315"/>
      <c r="H374" s="402"/>
      <c r="I374" s="315"/>
      <c r="J374" s="401"/>
      <c r="K374" s="315"/>
      <c r="L374" s="315"/>
      <c r="M374" s="315"/>
      <c r="N374" s="315"/>
      <c r="O374" s="315"/>
      <c r="P374" s="315"/>
      <c r="Q374" s="315"/>
      <c r="R374" s="315"/>
      <c r="S374" s="315"/>
      <c r="T374" s="315"/>
      <c r="U374" s="406"/>
      <c r="V374" s="406"/>
      <c r="W374" s="406"/>
      <c r="X374" s="406"/>
      <c r="Y374" s="406"/>
      <c r="Z374" s="406"/>
      <c r="AA374" s="406"/>
      <c r="AB374" s="406"/>
      <c r="AC374" s="406"/>
    </row>
    <row r="375" ht="15.75" customHeight="1">
      <c r="A375" s="403"/>
      <c r="B375" s="404"/>
      <c r="C375" s="396"/>
      <c r="D375" s="405"/>
      <c r="E375" s="398"/>
      <c r="F375" s="315"/>
      <c r="G375" s="315"/>
      <c r="H375" s="402"/>
      <c r="I375" s="315"/>
      <c r="J375" s="401"/>
      <c r="K375" s="315"/>
      <c r="L375" s="315"/>
      <c r="M375" s="315"/>
      <c r="N375" s="315"/>
      <c r="O375" s="315"/>
      <c r="P375" s="315"/>
      <c r="Q375" s="315"/>
      <c r="R375" s="315"/>
      <c r="S375" s="315"/>
      <c r="T375" s="315"/>
      <c r="U375" s="406"/>
      <c r="V375" s="406"/>
      <c r="W375" s="406"/>
      <c r="X375" s="406"/>
      <c r="Y375" s="406"/>
      <c r="Z375" s="406"/>
      <c r="AA375" s="406"/>
      <c r="AB375" s="406"/>
      <c r="AC375" s="406"/>
    </row>
    <row r="376" ht="15.75" customHeight="1">
      <c r="A376" s="403"/>
      <c r="B376" s="404"/>
      <c r="C376" s="396"/>
      <c r="D376" s="405"/>
      <c r="E376" s="398"/>
      <c r="F376" s="315"/>
      <c r="G376" s="315"/>
      <c r="H376" s="402"/>
      <c r="I376" s="315"/>
      <c r="J376" s="401"/>
      <c r="K376" s="315"/>
      <c r="L376" s="315"/>
      <c r="M376" s="315"/>
      <c r="N376" s="315"/>
      <c r="O376" s="315"/>
      <c r="P376" s="315"/>
      <c r="Q376" s="315"/>
      <c r="R376" s="315"/>
      <c r="S376" s="315"/>
      <c r="T376" s="315"/>
      <c r="U376" s="406"/>
      <c r="V376" s="406"/>
      <c r="W376" s="406"/>
      <c r="X376" s="406"/>
      <c r="Y376" s="406"/>
      <c r="Z376" s="406"/>
      <c r="AA376" s="406"/>
      <c r="AB376" s="406"/>
      <c r="AC376" s="406"/>
    </row>
    <row r="377" ht="15.75" customHeight="1">
      <c r="A377" s="403"/>
      <c r="B377" s="404"/>
      <c r="C377" s="396"/>
      <c r="D377" s="405"/>
      <c r="E377" s="398"/>
      <c r="F377" s="315"/>
      <c r="G377" s="315"/>
      <c r="H377" s="402"/>
      <c r="I377" s="315"/>
      <c r="J377" s="401"/>
      <c r="K377" s="315"/>
      <c r="L377" s="315"/>
      <c r="M377" s="315"/>
      <c r="N377" s="315"/>
      <c r="O377" s="315"/>
      <c r="P377" s="315"/>
      <c r="Q377" s="315"/>
      <c r="R377" s="315"/>
      <c r="S377" s="315"/>
      <c r="T377" s="315"/>
      <c r="U377" s="406"/>
      <c r="V377" s="406"/>
      <c r="W377" s="406"/>
      <c r="X377" s="406"/>
      <c r="Y377" s="406"/>
      <c r="Z377" s="406"/>
      <c r="AA377" s="406"/>
      <c r="AB377" s="406"/>
      <c r="AC377" s="406"/>
    </row>
    <row r="378" ht="15.75" customHeight="1">
      <c r="A378" s="403"/>
      <c r="B378" s="404"/>
      <c r="C378" s="396"/>
      <c r="D378" s="405"/>
      <c r="E378" s="398"/>
      <c r="F378" s="315"/>
      <c r="G378" s="315"/>
      <c r="H378" s="402"/>
      <c r="I378" s="315"/>
      <c r="J378" s="401"/>
      <c r="K378" s="315"/>
      <c r="L378" s="315"/>
      <c r="M378" s="315"/>
      <c r="N378" s="315"/>
      <c r="O378" s="315"/>
      <c r="P378" s="315"/>
      <c r="Q378" s="315"/>
      <c r="R378" s="315"/>
      <c r="S378" s="315"/>
      <c r="T378" s="315"/>
      <c r="U378" s="406"/>
      <c r="V378" s="406"/>
      <c r="W378" s="406"/>
      <c r="X378" s="406"/>
      <c r="Y378" s="406"/>
      <c r="Z378" s="406"/>
      <c r="AA378" s="406"/>
      <c r="AB378" s="406"/>
      <c r="AC378" s="406"/>
    </row>
    <row r="379" ht="15.75" customHeight="1">
      <c r="A379" s="403"/>
      <c r="B379" s="404"/>
      <c r="C379" s="396"/>
      <c r="D379" s="405"/>
      <c r="E379" s="398"/>
      <c r="F379" s="315"/>
      <c r="G379" s="315"/>
      <c r="H379" s="402"/>
      <c r="I379" s="315"/>
      <c r="J379" s="401"/>
      <c r="K379" s="315"/>
      <c r="L379" s="315"/>
      <c r="M379" s="315"/>
      <c r="N379" s="315"/>
      <c r="O379" s="315"/>
      <c r="P379" s="315"/>
      <c r="Q379" s="315"/>
      <c r="R379" s="315"/>
      <c r="S379" s="315"/>
      <c r="T379" s="315"/>
      <c r="U379" s="406"/>
      <c r="V379" s="406"/>
      <c r="W379" s="406"/>
      <c r="X379" s="406"/>
      <c r="Y379" s="406"/>
      <c r="Z379" s="406"/>
      <c r="AA379" s="406"/>
      <c r="AB379" s="406"/>
      <c r="AC379" s="406"/>
    </row>
    <row r="380" ht="15.75" customHeight="1">
      <c r="A380" s="403"/>
      <c r="B380" s="404"/>
      <c r="C380" s="396"/>
      <c r="D380" s="405"/>
      <c r="E380" s="398"/>
      <c r="F380" s="315"/>
      <c r="G380" s="315"/>
      <c r="H380" s="402"/>
      <c r="I380" s="315"/>
      <c r="J380" s="401"/>
      <c r="K380" s="315"/>
      <c r="L380" s="315"/>
      <c r="M380" s="315"/>
      <c r="N380" s="315"/>
      <c r="O380" s="315"/>
      <c r="P380" s="315"/>
      <c r="Q380" s="315"/>
      <c r="R380" s="315"/>
      <c r="S380" s="315"/>
      <c r="T380" s="315"/>
      <c r="U380" s="406"/>
      <c r="V380" s="406"/>
      <c r="W380" s="406"/>
      <c r="X380" s="406"/>
      <c r="Y380" s="406"/>
      <c r="Z380" s="406"/>
      <c r="AA380" s="406"/>
      <c r="AB380" s="406"/>
      <c r="AC380" s="406"/>
    </row>
    <row r="381" ht="15.75" customHeight="1">
      <c r="A381" s="403"/>
      <c r="B381" s="404"/>
      <c r="C381" s="396"/>
      <c r="D381" s="405"/>
      <c r="E381" s="398"/>
      <c r="F381" s="315"/>
      <c r="G381" s="315"/>
      <c r="H381" s="402"/>
      <c r="I381" s="315"/>
      <c r="J381" s="401"/>
      <c r="K381" s="315"/>
      <c r="L381" s="315"/>
      <c r="M381" s="315"/>
      <c r="N381" s="315"/>
      <c r="O381" s="315"/>
      <c r="P381" s="315"/>
      <c r="Q381" s="315"/>
      <c r="R381" s="315"/>
      <c r="S381" s="315"/>
      <c r="T381" s="315"/>
      <c r="U381" s="406"/>
      <c r="V381" s="406"/>
      <c r="W381" s="406"/>
      <c r="X381" s="406"/>
      <c r="Y381" s="406"/>
      <c r="Z381" s="406"/>
      <c r="AA381" s="406"/>
      <c r="AB381" s="406"/>
      <c r="AC381" s="406"/>
    </row>
    <row r="382" ht="15.75" customHeight="1">
      <c r="A382" s="403"/>
      <c r="B382" s="404"/>
      <c r="C382" s="396"/>
      <c r="D382" s="405"/>
      <c r="E382" s="398"/>
      <c r="F382" s="315"/>
      <c r="G382" s="315"/>
      <c r="H382" s="402"/>
      <c r="I382" s="315"/>
      <c r="J382" s="401"/>
      <c r="K382" s="315"/>
      <c r="L382" s="315"/>
      <c r="M382" s="315"/>
      <c r="N382" s="315"/>
      <c r="O382" s="315"/>
      <c r="P382" s="315"/>
      <c r="Q382" s="315"/>
      <c r="R382" s="315"/>
      <c r="S382" s="315"/>
      <c r="T382" s="315"/>
      <c r="U382" s="406"/>
      <c r="V382" s="406"/>
      <c r="W382" s="406"/>
      <c r="X382" s="406"/>
      <c r="Y382" s="406"/>
      <c r="Z382" s="406"/>
      <c r="AA382" s="406"/>
      <c r="AB382" s="406"/>
      <c r="AC382" s="406"/>
    </row>
    <row r="383" ht="15.75" customHeight="1">
      <c r="A383" s="403"/>
      <c r="B383" s="404"/>
      <c r="C383" s="396"/>
      <c r="D383" s="405"/>
      <c r="E383" s="398"/>
      <c r="F383" s="315"/>
      <c r="G383" s="315"/>
      <c r="H383" s="402"/>
      <c r="I383" s="315"/>
      <c r="J383" s="401"/>
      <c r="K383" s="315"/>
      <c r="L383" s="315"/>
      <c r="M383" s="315"/>
      <c r="N383" s="315"/>
      <c r="O383" s="315"/>
      <c r="P383" s="315"/>
      <c r="Q383" s="315"/>
      <c r="R383" s="315"/>
      <c r="S383" s="315"/>
      <c r="T383" s="315"/>
      <c r="U383" s="406"/>
      <c r="V383" s="406"/>
      <c r="W383" s="406"/>
      <c r="X383" s="406"/>
      <c r="Y383" s="406"/>
      <c r="Z383" s="406"/>
      <c r="AA383" s="406"/>
      <c r="AB383" s="406"/>
      <c r="AC383" s="406"/>
    </row>
    <row r="384" ht="15.75" customHeight="1">
      <c r="A384" s="403"/>
      <c r="B384" s="404"/>
      <c r="C384" s="396"/>
      <c r="D384" s="405"/>
      <c r="E384" s="398"/>
      <c r="F384" s="315"/>
      <c r="G384" s="315"/>
      <c r="H384" s="402"/>
      <c r="I384" s="315"/>
      <c r="J384" s="401"/>
      <c r="K384" s="315"/>
      <c r="L384" s="315"/>
      <c r="M384" s="315"/>
      <c r="N384" s="315"/>
      <c r="O384" s="315"/>
      <c r="P384" s="315"/>
      <c r="Q384" s="315"/>
      <c r="R384" s="315"/>
      <c r="S384" s="315"/>
      <c r="T384" s="315"/>
      <c r="U384" s="406"/>
      <c r="V384" s="406"/>
      <c r="W384" s="406"/>
      <c r="X384" s="406"/>
      <c r="Y384" s="406"/>
      <c r="Z384" s="406"/>
      <c r="AA384" s="406"/>
      <c r="AB384" s="406"/>
      <c r="AC384" s="406"/>
    </row>
    <row r="385" ht="15.75" customHeight="1">
      <c r="A385" s="403"/>
      <c r="B385" s="404"/>
      <c r="C385" s="396"/>
      <c r="D385" s="405"/>
      <c r="E385" s="398"/>
      <c r="F385" s="315"/>
      <c r="G385" s="315"/>
      <c r="H385" s="402"/>
      <c r="I385" s="315"/>
      <c r="J385" s="401"/>
      <c r="K385" s="315"/>
      <c r="L385" s="315"/>
      <c r="M385" s="315"/>
      <c r="N385" s="315"/>
      <c r="O385" s="315"/>
      <c r="P385" s="315"/>
      <c r="Q385" s="315"/>
      <c r="R385" s="315"/>
      <c r="S385" s="315"/>
      <c r="T385" s="315"/>
      <c r="U385" s="406"/>
      <c r="V385" s="406"/>
      <c r="W385" s="406"/>
      <c r="X385" s="406"/>
      <c r="Y385" s="406"/>
      <c r="Z385" s="406"/>
      <c r="AA385" s="406"/>
      <c r="AB385" s="406"/>
      <c r="AC385" s="406"/>
    </row>
    <row r="386" ht="15.75" customHeight="1">
      <c r="A386" s="403"/>
      <c r="B386" s="404"/>
      <c r="C386" s="396"/>
      <c r="D386" s="405"/>
      <c r="E386" s="398"/>
      <c r="F386" s="315"/>
      <c r="G386" s="315"/>
      <c r="H386" s="402"/>
      <c r="I386" s="315"/>
      <c r="J386" s="401"/>
      <c r="K386" s="315"/>
      <c r="L386" s="315"/>
      <c r="M386" s="315"/>
      <c r="N386" s="315"/>
      <c r="O386" s="315"/>
      <c r="P386" s="315"/>
      <c r="Q386" s="315"/>
      <c r="R386" s="315"/>
      <c r="S386" s="315"/>
      <c r="T386" s="315"/>
      <c r="U386" s="406"/>
      <c r="V386" s="406"/>
      <c r="W386" s="406"/>
      <c r="X386" s="406"/>
      <c r="Y386" s="406"/>
      <c r="Z386" s="406"/>
      <c r="AA386" s="406"/>
      <c r="AB386" s="406"/>
      <c r="AC386" s="406"/>
    </row>
    <row r="387" ht="15.75" customHeight="1">
      <c r="A387" s="403"/>
      <c r="B387" s="404"/>
      <c r="C387" s="396"/>
      <c r="D387" s="405"/>
      <c r="E387" s="398"/>
      <c r="F387" s="315"/>
      <c r="G387" s="315"/>
      <c r="H387" s="402"/>
      <c r="I387" s="315"/>
      <c r="J387" s="401"/>
      <c r="K387" s="315"/>
      <c r="L387" s="315"/>
      <c r="M387" s="315"/>
      <c r="N387" s="315"/>
      <c r="O387" s="315"/>
      <c r="P387" s="315"/>
      <c r="Q387" s="315"/>
      <c r="R387" s="315"/>
      <c r="S387" s="315"/>
      <c r="T387" s="315"/>
      <c r="U387" s="406"/>
      <c r="V387" s="406"/>
      <c r="W387" s="406"/>
      <c r="X387" s="406"/>
      <c r="Y387" s="406"/>
      <c r="Z387" s="406"/>
      <c r="AA387" s="406"/>
      <c r="AB387" s="406"/>
      <c r="AC387" s="406"/>
    </row>
    <row r="388" ht="15.75" customHeight="1">
      <c r="A388" s="403"/>
      <c r="B388" s="404"/>
      <c r="C388" s="396"/>
      <c r="D388" s="405"/>
      <c r="E388" s="398"/>
      <c r="F388" s="315"/>
      <c r="G388" s="315"/>
      <c r="H388" s="402"/>
      <c r="I388" s="315"/>
      <c r="J388" s="401"/>
      <c r="K388" s="315"/>
      <c r="L388" s="315"/>
      <c r="M388" s="315"/>
      <c r="N388" s="315"/>
      <c r="O388" s="315"/>
      <c r="P388" s="315"/>
      <c r="Q388" s="315"/>
      <c r="R388" s="315"/>
      <c r="S388" s="315"/>
      <c r="T388" s="315"/>
      <c r="U388" s="406"/>
      <c r="V388" s="406"/>
      <c r="W388" s="406"/>
      <c r="X388" s="406"/>
      <c r="Y388" s="406"/>
      <c r="Z388" s="406"/>
      <c r="AA388" s="406"/>
      <c r="AB388" s="406"/>
      <c r="AC388" s="406"/>
    </row>
    <row r="389" ht="15.75" customHeight="1">
      <c r="A389" s="403"/>
      <c r="B389" s="404"/>
      <c r="C389" s="396"/>
      <c r="D389" s="405"/>
      <c r="E389" s="398"/>
      <c r="F389" s="315"/>
      <c r="G389" s="315"/>
      <c r="H389" s="402"/>
      <c r="I389" s="315"/>
      <c r="J389" s="401"/>
      <c r="K389" s="315"/>
      <c r="L389" s="315"/>
      <c r="M389" s="315"/>
      <c r="N389" s="315"/>
      <c r="O389" s="315"/>
      <c r="P389" s="315"/>
      <c r="Q389" s="315"/>
      <c r="R389" s="315"/>
      <c r="S389" s="315"/>
      <c r="T389" s="315"/>
      <c r="U389" s="406"/>
      <c r="V389" s="406"/>
      <c r="W389" s="406"/>
      <c r="X389" s="406"/>
      <c r="Y389" s="406"/>
      <c r="Z389" s="406"/>
      <c r="AA389" s="406"/>
      <c r="AB389" s="406"/>
      <c r="AC389" s="406"/>
    </row>
    <row r="390" ht="15.75" customHeight="1">
      <c r="A390" s="403"/>
      <c r="B390" s="404"/>
      <c r="C390" s="396"/>
      <c r="D390" s="405"/>
      <c r="E390" s="398"/>
      <c r="F390" s="315"/>
      <c r="G390" s="315"/>
      <c r="H390" s="402"/>
      <c r="I390" s="315"/>
      <c r="J390" s="401"/>
      <c r="K390" s="315"/>
      <c r="L390" s="315"/>
      <c r="M390" s="315"/>
      <c r="N390" s="315"/>
      <c r="O390" s="315"/>
      <c r="P390" s="315"/>
      <c r="Q390" s="315"/>
      <c r="R390" s="315"/>
      <c r="S390" s="315"/>
      <c r="T390" s="315"/>
      <c r="U390" s="406"/>
      <c r="V390" s="406"/>
      <c r="W390" s="406"/>
      <c r="X390" s="406"/>
      <c r="Y390" s="406"/>
      <c r="Z390" s="406"/>
      <c r="AA390" s="406"/>
      <c r="AB390" s="406"/>
      <c r="AC390" s="406"/>
    </row>
    <row r="391" ht="15.75" customHeight="1">
      <c r="A391" s="403"/>
      <c r="B391" s="404"/>
      <c r="C391" s="396"/>
      <c r="D391" s="405"/>
      <c r="E391" s="398"/>
      <c r="F391" s="315"/>
      <c r="G391" s="315"/>
      <c r="H391" s="402"/>
      <c r="I391" s="315"/>
      <c r="J391" s="401"/>
      <c r="K391" s="315"/>
      <c r="L391" s="315"/>
      <c r="M391" s="315"/>
      <c r="N391" s="315"/>
      <c r="O391" s="315"/>
      <c r="P391" s="315"/>
      <c r="Q391" s="315"/>
      <c r="R391" s="315"/>
      <c r="S391" s="315"/>
      <c r="T391" s="315"/>
      <c r="U391" s="406"/>
      <c r="V391" s="406"/>
      <c r="W391" s="406"/>
      <c r="X391" s="406"/>
      <c r="Y391" s="406"/>
      <c r="Z391" s="406"/>
      <c r="AA391" s="406"/>
      <c r="AB391" s="406"/>
      <c r="AC391" s="406"/>
    </row>
    <row r="392" ht="15.75" customHeight="1">
      <c r="A392" s="403"/>
      <c r="B392" s="404"/>
      <c r="C392" s="396"/>
      <c r="D392" s="405"/>
      <c r="E392" s="398"/>
      <c r="F392" s="315"/>
      <c r="G392" s="315"/>
      <c r="H392" s="402"/>
      <c r="I392" s="315"/>
      <c r="J392" s="401"/>
      <c r="K392" s="315"/>
      <c r="L392" s="315"/>
      <c r="M392" s="315"/>
      <c r="N392" s="315"/>
      <c r="O392" s="315"/>
      <c r="P392" s="315"/>
      <c r="Q392" s="315"/>
      <c r="R392" s="315"/>
      <c r="S392" s="315"/>
      <c r="T392" s="315"/>
      <c r="U392" s="406"/>
      <c r="V392" s="406"/>
      <c r="W392" s="406"/>
      <c r="X392" s="406"/>
      <c r="Y392" s="406"/>
      <c r="Z392" s="406"/>
      <c r="AA392" s="406"/>
      <c r="AB392" s="406"/>
      <c r="AC392" s="406"/>
    </row>
    <row r="393" ht="15.75" customHeight="1">
      <c r="A393" s="403"/>
      <c r="B393" s="404"/>
      <c r="C393" s="396"/>
      <c r="D393" s="405"/>
      <c r="E393" s="398"/>
      <c r="F393" s="315"/>
      <c r="G393" s="315"/>
      <c r="H393" s="402"/>
      <c r="I393" s="315"/>
      <c r="J393" s="401"/>
      <c r="K393" s="315"/>
      <c r="L393" s="315"/>
      <c r="M393" s="315"/>
      <c r="N393" s="315"/>
      <c r="O393" s="315"/>
      <c r="P393" s="315"/>
      <c r="Q393" s="315"/>
      <c r="R393" s="315"/>
      <c r="S393" s="315"/>
      <c r="T393" s="315"/>
      <c r="U393" s="406"/>
      <c r="V393" s="406"/>
      <c r="W393" s="406"/>
      <c r="X393" s="406"/>
      <c r="Y393" s="406"/>
      <c r="Z393" s="406"/>
      <c r="AA393" s="406"/>
      <c r="AB393" s="406"/>
      <c r="AC393" s="406"/>
    </row>
    <row r="394" ht="15.75" customHeight="1">
      <c r="A394" s="403"/>
      <c r="B394" s="404"/>
      <c r="C394" s="396"/>
      <c r="D394" s="405"/>
      <c r="E394" s="398"/>
      <c r="F394" s="315"/>
      <c r="G394" s="315"/>
      <c r="H394" s="402"/>
      <c r="I394" s="315"/>
      <c r="J394" s="401"/>
      <c r="K394" s="315"/>
      <c r="L394" s="315"/>
      <c r="M394" s="315"/>
      <c r="N394" s="315"/>
      <c r="O394" s="315"/>
      <c r="P394" s="315"/>
      <c r="Q394" s="315"/>
      <c r="R394" s="315"/>
      <c r="S394" s="315"/>
      <c r="T394" s="315"/>
      <c r="U394" s="406"/>
      <c r="V394" s="406"/>
      <c r="W394" s="406"/>
      <c r="X394" s="406"/>
      <c r="Y394" s="406"/>
      <c r="Z394" s="406"/>
      <c r="AA394" s="406"/>
      <c r="AB394" s="406"/>
      <c r="AC394" s="406"/>
    </row>
    <row r="395" ht="15.75" customHeight="1">
      <c r="A395" s="403"/>
      <c r="B395" s="404"/>
      <c r="C395" s="396"/>
      <c r="D395" s="405"/>
      <c r="E395" s="398"/>
      <c r="F395" s="315"/>
      <c r="G395" s="315"/>
      <c r="H395" s="402"/>
      <c r="I395" s="315"/>
      <c r="J395" s="401"/>
      <c r="K395" s="315"/>
      <c r="L395" s="315"/>
      <c r="M395" s="315"/>
      <c r="N395" s="315"/>
      <c r="O395" s="315"/>
      <c r="P395" s="315"/>
      <c r="Q395" s="315"/>
      <c r="R395" s="315"/>
      <c r="S395" s="315"/>
      <c r="T395" s="315"/>
      <c r="U395" s="406"/>
      <c r="V395" s="406"/>
      <c r="W395" s="406"/>
      <c r="X395" s="406"/>
      <c r="Y395" s="406"/>
      <c r="Z395" s="406"/>
      <c r="AA395" s="406"/>
      <c r="AB395" s="406"/>
      <c r="AC395" s="406"/>
    </row>
    <row r="396" ht="15.75" customHeight="1">
      <c r="A396" s="403"/>
      <c r="B396" s="404"/>
      <c r="C396" s="396"/>
      <c r="D396" s="405"/>
      <c r="E396" s="398"/>
      <c r="F396" s="315"/>
      <c r="G396" s="315"/>
      <c r="H396" s="402"/>
      <c r="I396" s="315"/>
      <c r="J396" s="401"/>
      <c r="K396" s="315"/>
      <c r="L396" s="315"/>
      <c r="M396" s="315"/>
      <c r="N396" s="315"/>
      <c r="O396" s="315"/>
      <c r="P396" s="315"/>
      <c r="Q396" s="315"/>
      <c r="R396" s="315"/>
      <c r="S396" s="315"/>
      <c r="T396" s="315"/>
      <c r="U396" s="406"/>
      <c r="V396" s="406"/>
      <c r="W396" s="406"/>
      <c r="X396" s="406"/>
      <c r="Y396" s="406"/>
      <c r="Z396" s="406"/>
      <c r="AA396" s="406"/>
      <c r="AB396" s="406"/>
      <c r="AC396" s="406"/>
    </row>
    <row r="397" ht="15.75" customHeight="1">
      <c r="A397" s="403"/>
      <c r="B397" s="404"/>
      <c r="C397" s="396"/>
      <c r="D397" s="405"/>
      <c r="E397" s="398"/>
      <c r="F397" s="315"/>
      <c r="G397" s="315"/>
      <c r="H397" s="402"/>
      <c r="I397" s="315"/>
      <c r="J397" s="401"/>
      <c r="K397" s="315"/>
      <c r="L397" s="315"/>
      <c r="M397" s="315"/>
      <c r="N397" s="315"/>
      <c r="O397" s="315"/>
      <c r="P397" s="315"/>
      <c r="Q397" s="315"/>
      <c r="R397" s="315"/>
      <c r="S397" s="315"/>
      <c r="T397" s="315"/>
      <c r="U397" s="406"/>
      <c r="V397" s="406"/>
      <c r="W397" s="406"/>
      <c r="X397" s="406"/>
      <c r="Y397" s="406"/>
      <c r="Z397" s="406"/>
      <c r="AA397" s="406"/>
      <c r="AB397" s="406"/>
      <c r="AC397" s="406"/>
    </row>
    <row r="398" ht="15.75" customHeight="1">
      <c r="A398" s="403"/>
      <c r="B398" s="404"/>
      <c r="C398" s="396"/>
      <c r="D398" s="405"/>
      <c r="E398" s="398"/>
      <c r="F398" s="315"/>
      <c r="G398" s="315"/>
      <c r="H398" s="402"/>
      <c r="I398" s="315"/>
      <c r="J398" s="401"/>
      <c r="K398" s="315"/>
      <c r="L398" s="315"/>
      <c r="M398" s="315"/>
      <c r="N398" s="315"/>
      <c r="O398" s="315"/>
      <c r="P398" s="315"/>
      <c r="Q398" s="315"/>
      <c r="R398" s="315"/>
      <c r="S398" s="315"/>
      <c r="T398" s="315"/>
      <c r="U398" s="406"/>
      <c r="V398" s="406"/>
      <c r="W398" s="406"/>
      <c r="X398" s="406"/>
      <c r="Y398" s="406"/>
      <c r="Z398" s="406"/>
      <c r="AA398" s="406"/>
      <c r="AB398" s="406"/>
      <c r="AC398" s="406"/>
    </row>
    <row r="399" ht="15.75" customHeight="1">
      <c r="A399" s="403"/>
      <c r="B399" s="404"/>
      <c r="C399" s="396"/>
      <c r="D399" s="405"/>
      <c r="E399" s="398"/>
      <c r="F399" s="315"/>
      <c r="G399" s="315"/>
      <c r="H399" s="402"/>
      <c r="I399" s="315"/>
      <c r="J399" s="401"/>
      <c r="K399" s="315"/>
      <c r="L399" s="315"/>
      <c r="M399" s="315"/>
      <c r="N399" s="315"/>
      <c r="O399" s="315"/>
      <c r="P399" s="315"/>
      <c r="Q399" s="315"/>
      <c r="R399" s="315"/>
      <c r="S399" s="315"/>
      <c r="T399" s="315"/>
      <c r="U399" s="406"/>
      <c r="V399" s="406"/>
      <c r="W399" s="406"/>
      <c r="X399" s="406"/>
      <c r="Y399" s="406"/>
      <c r="Z399" s="406"/>
      <c r="AA399" s="406"/>
      <c r="AB399" s="406"/>
      <c r="AC399" s="406"/>
    </row>
    <row r="400" ht="15.75" customHeight="1">
      <c r="A400" s="403"/>
      <c r="B400" s="404"/>
      <c r="C400" s="396"/>
      <c r="D400" s="405"/>
      <c r="E400" s="398"/>
      <c r="F400" s="315"/>
      <c r="G400" s="315"/>
      <c r="H400" s="402"/>
      <c r="I400" s="315"/>
      <c r="J400" s="401"/>
      <c r="K400" s="315"/>
      <c r="L400" s="315"/>
      <c r="M400" s="315"/>
      <c r="N400" s="315"/>
      <c r="O400" s="315"/>
      <c r="P400" s="315"/>
      <c r="Q400" s="315"/>
      <c r="R400" s="315"/>
      <c r="S400" s="315"/>
      <c r="T400" s="315"/>
      <c r="U400" s="406"/>
      <c r="V400" s="406"/>
      <c r="W400" s="406"/>
      <c r="X400" s="406"/>
      <c r="Y400" s="406"/>
      <c r="Z400" s="406"/>
      <c r="AA400" s="406"/>
      <c r="AB400" s="406"/>
      <c r="AC400" s="406"/>
    </row>
    <row r="401" ht="15.75" customHeight="1">
      <c r="A401" s="403"/>
      <c r="B401" s="404"/>
      <c r="C401" s="396"/>
      <c r="D401" s="405"/>
      <c r="E401" s="398"/>
      <c r="F401" s="315"/>
      <c r="G401" s="315"/>
      <c r="H401" s="402"/>
      <c r="I401" s="315"/>
      <c r="J401" s="401"/>
      <c r="K401" s="315"/>
      <c r="L401" s="315"/>
      <c r="M401" s="315"/>
      <c r="N401" s="315"/>
      <c r="O401" s="315"/>
      <c r="P401" s="315"/>
      <c r="Q401" s="315"/>
      <c r="R401" s="315"/>
      <c r="S401" s="315"/>
      <c r="T401" s="315"/>
      <c r="U401" s="406"/>
      <c r="V401" s="406"/>
      <c r="W401" s="406"/>
      <c r="X401" s="406"/>
      <c r="Y401" s="406"/>
      <c r="Z401" s="406"/>
      <c r="AA401" s="406"/>
      <c r="AB401" s="406"/>
      <c r="AC401" s="406"/>
    </row>
    <row r="402" ht="15.75" customHeight="1">
      <c r="A402" s="403"/>
      <c r="B402" s="404"/>
      <c r="C402" s="396"/>
      <c r="D402" s="405"/>
      <c r="E402" s="398"/>
      <c r="F402" s="315"/>
      <c r="G402" s="315"/>
      <c r="H402" s="402"/>
      <c r="I402" s="315"/>
      <c r="J402" s="401"/>
      <c r="K402" s="315"/>
      <c r="L402" s="315"/>
      <c r="M402" s="315"/>
      <c r="N402" s="315"/>
      <c r="O402" s="315"/>
      <c r="P402" s="315"/>
      <c r="Q402" s="315"/>
      <c r="R402" s="315"/>
      <c r="S402" s="315"/>
      <c r="T402" s="315"/>
      <c r="U402" s="406"/>
      <c r="V402" s="406"/>
      <c r="W402" s="406"/>
      <c r="X402" s="406"/>
      <c r="Y402" s="406"/>
      <c r="Z402" s="406"/>
      <c r="AA402" s="406"/>
      <c r="AB402" s="406"/>
      <c r="AC402" s="406"/>
    </row>
    <row r="403" ht="15.75" customHeight="1">
      <c r="A403" s="403"/>
      <c r="B403" s="404"/>
      <c r="C403" s="396"/>
      <c r="D403" s="405"/>
      <c r="E403" s="398"/>
      <c r="F403" s="315"/>
      <c r="G403" s="315"/>
      <c r="H403" s="402"/>
      <c r="I403" s="315"/>
      <c r="J403" s="401"/>
      <c r="K403" s="315"/>
      <c r="L403" s="315"/>
      <c r="M403" s="315"/>
      <c r="N403" s="315"/>
      <c r="O403" s="315"/>
      <c r="P403" s="315"/>
      <c r="Q403" s="315"/>
      <c r="R403" s="315"/>
      <c r="S403" s="315"/>
      <c r="T403" s="315"/>
      <c r="U403" s="406"/>
      <c r="V403" s="406"/>
      <c r="W403" s="406"/>
      <c r="X403" s="406"/>
      <c r="Y403" s="406"/>
      <c r="Z403" s="406"/>
      <c r="AA403" s="406"/>
      <c r="AB403" s="406"/>
      <c r="AC403" s="406"/>
    </row>
    <row r="404" ht="15.75" customHeight="1">
      <c r="A404" s="403"/>
      <c r="B404" s="404"/>
      <c r="C404" s="396"/>
      <c r="D404" s="405"/>
      <c r="E404" s="398"/>
      <c r="F404" s="315"/>
      <c r="G404" s="315"/>
      <c r="H404" s="402"/>
      <c r="I404" s="315"/>
      <c r="J404" s="401"/>
      <c r="K404" s="315"/>
      <c r="L404" s="315"/>
      <c r="M404" s="315"/>
      <c r="N404" s="315"/>
      <c r="O404" s="315"/>
      <c r="P404" s="315"/>
      <c r="Q404" s="315"/>
      <c r="R404" s="315"/>
      <c r="S404" s="315"/>
      <c r="T404" s="315"/>
      <c r="U404" s="406"/>
      <c r="V404" s="406"/>
      <c r="W404" s="406"/>
      <c r="X404" s="406"/>
      <c r="Y404" s="406"/>
      <c r="Z404" s="406"/>
      <c r="AA404" s="406"/>
      <c r="AB404" s="406"/>
      <c r="AC404" s="406"/>
    </row>
    <row r="405" ht="15.75" customHeight="1">
      <c r="A405" s="403"/>
      <c r="B405" s="404"/>
      <c r="C405" s="396"/>
      <c r="D405" s="405"/>
      <c r="E405" s="398"/>
      <c r="F405" s="315"/>
      <c r="G405" s="315"/>
      <c r="H405" s="402"/>
      <c r="I405" s="315"/>
      <c r="J405" s="401"/>
      <c r="K405" s="315"/>
      <c r="L405" s="315"/>
      <c r="M405" s="315"/>
      <c r="N405" s="315"/>
      <c r="O405" s="315"/>
      <c r="P405" s="315"/>
      <c r="Q405" s="315"/>
      <c r="R405" s="315"/>
      <c r="S405" s="315"/>
      <c r="T405" s="315"/>
      <c r="U405" s="406"/>
      <c r="V405" s="406"/>
      <c r="W405" s="406"/>
      <c r="X405" s="406"/>
      <c r="Y405" s="406"/>
      <c r="Z405" s="406"/>
      <c r="AA405" s="406"/>
      <c r="AB405" s="406"/>
      <c r="AC405" s="406"/>
    </row>
    <row r="406" ht="15.75" customHeight="1">
      <c r="A406" s="403"/>
      <c r="B406" s="404"/>
      <c r="C406" s="396"/>
      <c r="D406" s="405"/>
      <c r="E406" s="398"/>
      <c r="F406" s="315"/>
      <c r="G406" s="315"/>
      <c r="H406" s="402"/>
      <c r="I406" s="315"/>
      <c r="J406" s="401"/>
      <c r="K406" s="315"/>
      <c r="L406" s="315"/>
      <c r="M406" s="315"/>
      <c r="N406" s="315"/>
      <c r="O406" s="315"/>
      <c r="P406" s="315"/>
      <c r="Q406" s="315"/>
      <c r="R406" s="315"/>
      <c r="S406" s="315"/>
      <c r="T406" s="315"/>
      <c r="U406" s="406"/>
      <c r="V406" s="406"/>
      <c r="W406" s="406"/>
      <c r="X406" s="406"/>
      <c r="Y406" s="406"/>
      <c r="Z406" s="406"/>
      <c r="AA406" s="406"/>
      <c r="AB406" s="406"/>
      <c r="AC406" s="406"/>
    </row>
    <row r="407" ht="15.75" customHeight="1">
      <c r="A407" s="403"/>
      <c r="B407" s="404"/>
      <c r="C407" s="396"/>
      <c r="D407" s="405"/>
      <c r="E407" s="398"/>
      <c r="F407" s="315"/>
      <c r="G407" s="315"/>
      <c r="H407" s="402"/>
      <c r="I407" s="315"/>
      <c r="J407" s="401"/>
      <c r="K407" s="315"/>
      <c r="L407" s="315"/>
      <c r="M407" s="315"/>
      <c r="N407" s="315"/>
      <c r="O407" s="315"/>
      <c r="P407" s="315"/>
      <c r="Q407" s="315"/>
      <c r="R407" s="315"/>
      <c r="S407" s="315"/>
      <c r="T407" s="315"/>
      <c r="U407" s="406"/>
      <c r="V407" s="406"/>
      <c r="W407" s="406"/>
      <c r="X407" s="406"/>
      <c r="Y407" s="406"/>
      <c r="Z407" s="406"/>
      <c r="AA407" s="406"/>
      <c r="AB407" s="406"/>
      <c r="AC407" s="406"/>
    </row>
    <row r="408" ht="15.75" customHeight="1">
      <c r="A408" s="403"/>
      <c r="B408" s="404"/>
      <c r="C408" s="396"/>
      <c r="D408" s="405"/>
      <c r="E408" s="398"/>
      <c r="F408" s="315"/>
      <c r="G408" s="315"/>
      <c r="H408" s="402"/>
      <c r="I408" s="315"/>
      <c r="J408" s="401"/>
      <c r="K408" s="315"/>
      <c r="L408" s="315"/>
      <c r="M408" s="315"/>
      <c r="N408" s="315"/>
      <c r="O408" s="315"/>
      <c r="P408" s="315"/>
      <c r="Q408" s="315"/>
      <c r="R408" s="315"/>
      <c r="S408" s="315"/>
      <c r="T408" s="315"/>
      <c r="U408" s="406"/>
      <c r="V408" s="406"/>
      <c r="W408" s="406"/>
      <c r="X408" s="406"/>
      <c r="Y408" s="406"/>
      <c r="Z408" s="406"/>
      <c r="AA408" s="406"/>
      <c r="AB408" s="406"/>
      <c r="AC408" s="406"/>
    </row>
    <row r="409" ht="15.75" customHeight="1">
      <c r="A409" s="403"/>
      <c r="B409" s="404"/>
      <c r="C409" s="396"/>
      <c r="D409" s="405"/>
      <c r="E409" s="398"/>
      <c r="F409" s="315"/>
      <c r="G409" s="315"/>
      <c r="H409" s="402"/>
      <c r="I409" s="315"/>
      <c r="J409" s="401"/>
      <c r="K409" s="315"/>
      <c r="L409" s="315"/>
      <c r="M409" s="315"/>
      <c r="N409" s="315"/>
      <c r="O409" s="315"/>
      <c r="P409" s="315"/>
      <c r="Q409" s="315"/>
      <c r="R409" s="315"/>
      <c r="S409" s="315"/>
      <c r="T409" s="315"/>
      <c r="U409" s="406"/>
      <c r="V409" s="406"/>
      <c r="W409" s="406"/>
      <c r="X409" s="406"/>
      <c r="Y409" s="406"/>
      <c r="Z409" s="406"/>
      <c r="AA409" s="406"/>
      <c r="AB409" s="406"/>
      <c r="AC409" s="406"/>
    </row>
    <row r="410" ht="15.75" customHeight="1">
      <c r="A410" s="403"/>
      <c r="B410" s="404"/>
      <c r="C410" s="396"/>
      <c r="D410" s="405"/>
      <c r="E410" s="398"/>
      <c r="F410" s="315"/>
      <c r="G410" s="315"/>
      <c r="H410" s="402"/>
      <c r="I410" s="315"/>
      <c r="J410" s="401"/>
      <c r="K410" s="315"/>
      <c r="L410" s="315"/>
      <c r="M410" s="315"/>
      <c r="N410" s="315"/>
      <c r="O410" s="315"/>
      <c r="P410" s="315"/>
      <c r="Q410" s="315"/>
      <c r="R410" s="315"/>
      <c r="S410" s="315"/>
      <c r="T410" s="315"/>
      <c r="U410" s="406"/>
      <c r="V410" s="406"/>
      <c r="W410" s="406"/>
      <c r="X410" s="406"/>
      <c r="Y410" s="406"/>
      <c r="Z410" s="406"/>
      <c r="AA410" s="406"/>
      <c r="AB410" s="406"/>
      <c r="AC410" s="406"/>
    </row>
    <row r="411" ht="15.75" customHeight="1">
      <c r="A411" s="403"/>
      <c r="B411" s="404"/>
      <c r="C411" s="396"/>
      <c r="D411" s="405"/>
      <c r="E411" s="398"/>
      <c r="F411" s="315"/>
      <c r="G411" s="315"/>
      <c r="H411" s="402"/>
      <c r="I411" s="315"/>
      <c r="J411" s="401"/>
      <c r="K411" s="315"/>
      <c r="L411" s="315"/>
      <c r="M411" s="315"/>
      <c r="N411" s="315"/>
      <c r="O411" s="315"/>
      <c r="P411" s="315"/>
      <c r="Q411" s="315"/>
      <c r="R411" s="315"/>
      <c r="S411" s="315"/>
      <c r="T411" s="315"/>
      <c r="U411" s="406"/>
      <c r="V411" s="406"/>
      <c r="W411" s="406"/>
      <c r="X411" s="406"/>
      <c r="Y411" s="406"/>
      <c r="Z411" s="406"/>
      <c r="AA411" s="406"/>
      <c r="AB411" s="406"/>
      <c r="AC411" s="406"/>
    </row>
    <row r="412" ht="15.75" customHeight="1">
      <c r="A412" s="403"/>
      <c r="B412" s="404"/>
      <c r="C412" s="396"/>
      <c r="D412" s="405"/>
      <c r="E412" s="398"/>
      <c r="F412" s="315"/>
      <c r="G412" s="315"/>
      <c r="H412" s="402"/>
      <c r="I412" s="315"/>
      <c r="J412" s="401"/>
      <c r="K412" s="315"/>
      <c r="L412" s="315"/>
      <c r="M412" s="315"/>
      <c r="N412" s="315"/>
      <c r="O412" s="315"/>
      <c r="P412" s="315"/>
      <c r="Q412" s="315"/>
      <c r="R412" s="315"/>
      <c r="S412" s="315"/>
      <c r="T412" s="315"/>
      <c r="U412" s="406"/>
      <c r="V412" s="406"/>
      <c r="W412" s="406"/>
      <c r="X412" s="406"/>
      <c r="Y412" s="406"/>
      <c r="Z412" s="406"/>
      <c r="AA412" s="406"/>
      <c r="AB412" s="406"/>
      <c r="AC412" s="406"/>
    </row>
    <row r="413" ht="15.75" customHeight="1">
      <c r="A413" s="403"/>
      <c r="B413" s="404"/>
      <c r="C413" s="396"/>
      <c r="D413" s="405"/>
      <c r="E413" s="398"/>
      <c r="F413" s="315"/>
      <c r="G413" s="315"/>
      <c r="H413" s="402"/>
      <c r="I413" s="315"/>
      <c r="J413" s="401"/>
      <c r="K413" s="315"/>
      <c r="L413" s="315"/>
      <c r="M413" s="315"/>
      <c r="N413" s="315"/>
      <c r="O413" s="315"/>
      <c r="P413" s="315"/>
      <c r="Q413" s="315"/>
      <c r="R413" s="315"/>
      <c r="S413" s="315"/>
      <c r="T413" s="315"/>
      <c r="U413" s="406"/>
      <c r="V413" s="406"/>
      <c r="W413" s="406"/>
      <c r="X413" s="406"/>
      <c r="Y413" s="406"/>
      <c r="Z413" s="406"/>
      <c r="AA413" s="406"/>
      <c r="AB413" s="406"/>
      <c r="AC413" s="406"/>
    </row>
    <row r="414" ht="15.75" customHeight="1">
      <c r="A414" s="403"/>
      <c r="B414" s="404"/>
      <c r="C414" s="396"/>
      <c r="D414" s="405"/>
      <c r="E414" s="398"/>
      <c r="F414" s="315"/>
      <c r="G414" s="315"/>
      <c r="H414" s="402"/>
      <c r="I414" s="315"/>
      <c r="J414" s="401"/>
      <c r="K414" s="315"/>
      <c r="L414" s="315"/>
      <c r="M414" s="315"/>
      <c r="N414" s="315"/>
      <c r="O414" s="315"/>
      <c r="P414" s="315"/>
      <c r="Q414" s="315"/>
      <c r="R414" s="315"/>
      <c r="S414" s="315"/>
      <c r="T414" s="315"/>
      <c r="U414" s="406"/>
      <c r="V414" s="406"/>
      <c r="W414" s="406"/>
      <c r="X414" s="406"/>
      <c r="Y414" s="406"/>
      <c r="Z414" s="406"/>
      <c r="AA414" s="406"/>
      <c r="AB414" s="406"/>
      <c r="AC414" s="406"/>
    </row>
    <row r="415" ht="15.75" customHeight="1">
      <c r="A415" s="403"/>
      <c r="B415" s="404"/>
      <c r="C415" s="396"/>
      <c r="D415" s="405"/>
      <c r="E415" s="398"/>
      <c r="F415" s="394"/>
      <c r="G415" s="403"/>
      <c r="H415" s="402"/>
      <c r="I415" s="406"/>
      <c r="J415" s="54"/>
      <c r="K415" s="406"/>
      <c r="L415" s="406"/>
      <c r="M415" s="407"/>
      <c r="N415" s="406"/>
      <c r="O415" s="406"/>
      <c r="P415" s="406"/>
      <c r="Q415" s="406"/>
      <c r="R415" s="406"/>
      <c r="S415" s="406"/>
      <c r="T415" s="406"/>
      <c r="U415" s="406"/>
      <c r="V415" s="406"/>
      <c r="W415" s="406"/>
      <c r="X415" s="406"/>
      <c r="Y415" s="406"/>
      <c r="Z415" s="406"/>
      <c r="AA415" s="406"/>
      <c r="AB415" s="406"/>
      <c r="AC415" s="406"/>
    </row>
    <row r="416" ht="15.75" customHeight="1">
      <c r="A416" s="403"/>
      <c r="B416" s="404"/>
      <c r="C416" s="396"/>
      <c r="D416" s="405"/>
      <c r="E416" s="398"/>
      <c r="F416" s="394"/>
      <c r="G416" s="403"/>
      <c r="H416" s="402"/>
      <c r="I416" s="406"/>
      <c r="J416" s="54"/>
      <c r="K416" s="406"/>
      <c r="L416" s="406"/>
      <c r="M416" s="407"/>
      <c r="N416" s="406"/>
      <c r="O416" s="406"/>
      <c r="P416" s="406"/>
      <c r="Q416" s="406"/>
      <c r="R416" s="406"/>
      <c r="S416" s="406"/>
      <c r="T416" s="406"/>
      <c r="U416" s="406"/>
      <c r="V416" s="406"/>
      <c r="W416" s="406"/>
      <c r="X416" s="406"/>
      <c r="Y416" s="406"/>
      <c r="Z416" s="406"/>
      <c r="AA416" s="406"/>
      <c r="AB416" s="406"/>
      <c r="AC416" s="406"/>
    </row>
    <row r="417" ht="15.75" customHeight="1">
      <c r="A417" s="403"/>
      <c r="B417" s="404"/>
      <c r="C417" s="396"/>
      <c r="D417" s="405"/>
      <c r="E417" s="398"/>
      <c r="F417" s="394"/>
      <c r="G417" s="403"/>
      <c r="H417" s="402"/>
      <c r="I417" s="406"/>
      <c r="J417" s="54"/>
      <c r="K417" s="406"/>
      <c r="L417" s="406"/>
      <c r="M417" s="407"/>
      <c r="N417" s="406"/>
      <c r="O417" s="406"/>
      <c r="P417" s="406"/>
      <c r="Q417" s="406"/>
      <c r="R417" s="406"/>
      <c r="S417" s="406"/>
      <c r="T417" s="406"/>
      <c r="U417" s="406"/>
      <c r="V417" s="406"/>
      <c r="W417" s="406"/>
      <c r="X417" s="406"/>
      <c r="Y417" s="406"/>
      <c r="Z417" s="406"/>
      <c r="AA417" s="406"/>
      <c r="AB417" s="406"/>
      <c r="AC417" s="406"/>
    </row>
    <row r="418" ht="15.75" customHeight="1">
      <c r="A418" s="403"/>
      <c r="B418" s="404"/>
      <c r="C418" s="396"/>
      <c r="D418" s="405"/>
      <c r="E418" s="398"/>
      <c r="F418" s="394"/>
      <c r="G418" s="403"/>
      <c r="H418" s="402"/>
      <c r="I418" s="406"/>
      <c r="J418" s="54"/>
      <c r="K418" s="406"/>
      <c r="L418" s="406"/>
      <c r="M418" s="407"/>
      <c r="N418" s="406"/>
      <c r="O418" s="406"/>
      <c r="P418" s="406"/>
      <c r="Q418" s="406"/>
      <c r="R418" s="406"/>
      <c r="S418" s="406"/>
      <c r="T418" s="406"/>
      <c r="U418" s="406"/>
      <c r="V418" s="406"/>
      <c r="W418" s="406"/>
      <c r="X418" s="406"/>
      <c r="Y418" s="406"/>
      <c r="Z418" s="406"/>
      <c r="AA418" s="406"/>
      <c r="AB418" s="406"/>
      <c r="AC418" s="406"/>
    </row>
    <row r="419" ht="15.75" customHeight="1">
      <c r="A419" s="403"/>
      <c r="B419" s="404"/>
      <c r="C419" s="396"/>
      <c r="D419" s="405"/>
      <c r="E419" s="398"/>
      <c r="F419" s="394"/>
      <c r="G419" s="403"/>
      <c r="H419" s="402"/>
      <c r="I419" s="406"/>
      <c r="J419" s="54"/>
      <c r="K419" s="406"/>
      <c r="L419" s="406"/>
      <c r="M419" s="407"/>
      <c r="N419" s="406"/>
      <c r="O419" s="406"/>
      <c r="P419" s="406"/>
      <c r="Q419" s="406"/>
      <c r="R419" s="406"/>
      <c r="S419" s="406"/>
      <c r="T419" s="406"/>
      <c r="U419" s="406"/>
      <c r="V419" s="406"/>
      <c r="W419" s="406"/>
      <c r="X419" s="406"/>
      <c r="Y419" s="406"/>
      <c r="Z419" s="406"/>
      <c r="AA419" s="406"/>
      <c r="AB419" s="406"/>
      <c r="AC419" s="406"/>
    </row>
    <row r="420" ht="15.75" customHeight="1">
      <c r="A420" s="403"/>
      <c r="B420" s="404"/>
      <c r="C420" s="396"/>
      <c r="D420" s="405"/>
      <c r="E420" s="398"/>
      <c r="F420" s="394"/>
      <c r="G420" s="403"/>
      <c r="H420" s="402"/>
      <c r="I420" s="406"/>
      <c r="J420" s="54"/>
      <c r="K420" s="406"/>
      <c r="L420" s="406"/>
      <c r="M420" s="407"/>
      <c r="N420" s="406"/>
      <c r="O420" s="406"/>
      <c r="P420" s="406"/>
      <c r="Q420" s="406"/>
      <c r="R420" s="406"/>
      <c r="S420" s="406"/>
      <c r="T420" s="406"/>
      <c r="U420" s="406"/>
      <c r="V420" s="406"/>
      <c r="W420" s="406"/>
      <c r="X420" s="406"/>
      <c r="Y420" s="406"/>
      <c r="Z420" s="406"/>
      <c r="AA420" s="406"/>
      <c r="AB420" s="406"/>
      <c r="AC420" s="406"/>
    </row>
    <row r="421" ht="15.75" customHeight="1">
      <c r="A421" s="403"/>
      <c r="B421" s="404"/>
      <c r="C421" s="396"/>
      <c r="D421" s="405"/>
      <c r="E421" s="398"/>
      <c r="F421" s="394"/>
      <c r="G421" s="403"/>
      <c r="H421" s="402"/>
      <c r="I421" s="406"/>
      <c r="J421" s="54"/>
      <c r="K421" s="406"/>
      <c r="L421" s="406"/>
      <c r="M421" s="407"/>
      <c r="N421" s="406"/>
      <c r="O421" s="406"/>
      <c r="P421" s="406"/>
      <c r="Q421" s="406"/>
      <c r="R421" s="406"/>
      <c r="S421" s="406"/>
      <c r="T421" s="406"/>
      <c r="U421" s="406"/>
      <c r="V421" s="406"/>
      <c r="W421" s="406"/>
      <c r="X421" s="406"/>
      <c r="Y421" s="406"/>
      <c r="Z421" s="406"/>
      <c r="AA421" s="406"/>
      <c r="AB421" s="406"/>
      <c r="AC421" s="406"/>
    </row>
    <row r="422" ht="15.75" customHeight="1">
      <c r="A422" s="403"/>
      <c r="B422" s="404"/>
      <c r="C422" s="396"/>
      <c r="D422" s="405"/>
      <c r="E422" s="398"/>
      <c r="F422" s="394"/>
      <c r="G422" s="403"/>
      <c r="H422" s="402"/>
      <c r="I422" s="406"/>
      <c r="J422" s="54"/>
      <c r="K422" s="406"/>
      <c r="L422" s="406"/>
      <c r="M422" s="407"/>
      <c r="N422" s="406"/>
      <c r="O422" s="406"/>
      <c r="P422" s="406"/>
      <c r="Q422" s="406"/>
      <c r="R422" s="406"/>
      <c r="S422" s="406"/>
      <c r="T422" s="406"/>
      <c r="U422" s="406"/>
      <c r="V422" s="406"/>
      <c r="W422" s="406"/>
      <c r="X422" s="406"/>
      <c r="Y422" s="406"/>
      <c r="Z422" s="406"/>
      <c r="AA422" s="406"/>
      <c r="AB422" s="406"/>
      <c r="AC422" s="406"/>
    </row>
    <row r="423" ht="15.75" customHeight="1">
      <c r="A423" s="408"/>
      <c r="B423" s="408"/>
      <c r="C423" s="409"/>
      <c r="D423" s="410"/>
      <c r="E423" s="276"/>
      <c r="F423" s="411"/>
      <c r="G423" s="408"/>
      <c r="H423" s="52"/>
      <c r="J423" s="54"/>
      <c r="M423" s="412"/>
    </row>
    <row r="424" ht="15.75" customHeight="1">
      <c r="A424" s="408"/>
      <c r="B424" s="408"/>
      <c r="C424" s="409"/>
      <c r="D424" s="410"/>
      <c r="E424" s="276"/>
      <c r="F424" s="411"/>
      <c r="G424" s="408"/>
      <c r="H424" s="52"/>
      <c r="J424" s="54"/>
      <c r="M424" s="412"/>
    </row>
    <row r="425" ht="15.75" customHeight="1">
      <c r="A425" s="408"/>
      <c r="B425" s="408"/>
      <c r="C425" s="409"/>
      <c r="D425" s="410"/>
      <c r="E425" s="276"/>
      <c r="F425" s="411"/>
      <c r="G425" s="408"/>
      <c r="H425" s="52"/>
      <c r="J425" s="54"/>
      <c r="M425" s="412"/>
    </row>
    <row r="426" ht="15.75" customHeight="1">
      <c r="A426" s="408"/>
      <c r="B426" s="408"/>
      <c r="C426" s="409"/>
      <c r="D426" s="410"/>
      <c r="E426" s="276"/>
      <c r="F426" s="411"/>
      <c r="G426" s="408"/>
      <c r="H426" s="52"/>
      <c r="J426" s="54"/>
      <c r="M426" s="412"/>
    </row>
    <row r="427" ht="15.75" customHeight="1">
      <c r="A427" s="408"/>
      <c r="B427" s="408"/>
      <c r="C427" s="409"/>
      <c r="D427" s="410"/>
      <c r="E427" s="276"/>
      <c r="F427" s="411"/>
      <c r="G427" s="408"/>
      <c r="H427" s="52"/>
      <c r="J427" s="54"/>
      <c r="M427" s="412"/>
    </row>
    <row r="428" ht="15.75" customHeight="1">
      <c r="A428" s="408"/>
      <c r="B428" s="408"/>
      <c r="C428" s="409"/>
      <c r="D428" s="410"/>
      <c r="E428" s="276"/>
      <c r="F428" s="411"/>
      <c r="G428" s="408"/>
      <c r="H428" s="52"/>
      <c r="J428" s="54"/>
      <c r="M428" s="412"/>
    </row>
    <row r="429" ht="15.75" customHeight="1">
      <c r="A429" s="408"/>
      <c r="B429" s="408"/>
      <c r="C429" s="409"/>
      <c r="D429" s="410"/>
      <c r="E429" s="276"/>
      <c r="F429" s="411"/>
      <c r="G429" s="408"/>
      <c r="H429" s="52"/>
      <c r="J429" s="54"/>
      <c r="M429" s="412"/>
    </row>
    <row r="430" ht="15.75" customHeight="1">
      <c r="A430" s="408"/>
      <c r="B430" s="408"/>
      <c r="C430" s="409"/>
      <c r="D430" s="410"/>
      <c r="E430" s="276"/>
      <c r="F430" s="411"/>
      <c r="G430" s="408"/>
      <c r="H430" s="52"/>
      <c r="J430" s="54"/>
      <c r="M430" s="412"/>
    </row>
    <row r="431" ht="15.75" customHeight="1">
      <c r="A431" s="408"/>
      <c r="B431" s="408"/>
      <c r="C431" s="409"/>
      <c r="D431" s="410"/>
      <c r="E431" s="276"/>
      <c r="F431" s="411"/>
      <c r="G431" s="408"/>
      <c r="H431" s="52"/>
      <c r="J431" s="54"/>
      <c r="M431" s="412"/>
    </row>
    <row r="432" ht="15.75" customHeight="1">
      <c r="A432" s="408"/>
      <c r="B432" s="408"/>
      <c r="C432" s="409"/>
      <c r="D432" s="410"/>
      <c r="E432" s="276"/>
      <c r="F432" s="411"/>
      <c r="G432" s="408"/>
      <c r="H432" s="52"/>
      <c r="J432" s="54"/>
      <c r="M432" s="412"/>
    </row>
    <row r="433" ht="15.75" customHeight="1">
      <c r="A433" s="408"/>
      <c r="B433" s="408"/>
      <c r="C433" s="409"/>
      <c r="D433" s="410"/>
      <c r="E433" s="276"/>
      <c r="F433" s="411"/>
      <c r="G433" s="408"/>
      <c r="H433" s="52"/>
      <c r="J433" s="54"/>
      <c r="M433" s="412"/>
    </row>
    <row r="434" ht="15.75" customHeight="1">
      <c r="A434" s="408"/>
      <c r="B434" s="408"/>
      <c r="C434" s="409"/>
      <c r="D434" s="410"/>
      <c r="E434" s="276"/>
      <c r="F434" s="411"/>
      <c r="G434" s="408"/>
      <c r="H434" s="52"/>
      <c r="J434" s="54"/>
      <c r="M434" s="412"/>
    </row>
    <row r="435" ht="15.75" customHeight="1">
      <c r="A435" s="408"/>
      <c r="B435" s="408"/>
      <c r="C435" s="409"/>
      <c r="D435" s="410"/>
      <c r="E435" s="276"/>
      <c r="F435" s="411"/>
      <c r="G435" s="408"/>
      <c r="H435" s="52"/>
      <c r="J435" s="54"/>
      <c r="M435" s="412"/>
    </row>
    <row r="436" ht="15.75" customHeight="1">
      <c r="A436" s="408"/>
      <c r="B436" s="408"/>
      <c r="C436" s="409"/>
      <c r="D436" s="410"/>
      <c r="E436" s="276"/>
      <c r="F436" s="411"/>
      <c r="G436" s="408"/>
      <c r="H436" s="52"/>
      <c r="J436" s="54"/>
      <c r="M436" s="412"/>
    </row>
    <row r="437" ht="15.75" customHeight="1">
      <c r="A437" s="408"/>
      <c r="B437" s="408"/>
      <c r="C437" s="409"/>
      <c r="D437" s="410"/>
      <c r="E437" s="276"/>
      <c r="F437" s="411"/>
      <c r="G437" s="408"/>
      <c r="H437" s="52"/>
      <c r="J437" s="54"/>
      <c r="M437" s="412"/>
    </row>
    <row r="438" ht="15.75" customHeight="1">
      <c r="A438" s="408"/>
      <c r="B438" s="408"/>
      <c r="C438" s="409"/>
      <c r="D438" s="410"/>
      <c r="E438" s="276"/>
      <c r="F438" s="411"/>
      <c r="G438" s="408"/>
      <c r="H438" s="52"/>
      <c r="J438" s="54"/>
      <c r="M438" s="412"/>
    </row>
    <row r="439" ht="15.75" customHeight="1">
      <c r="A439" s="408"/>
      <c r="B439" s="408"/>
      <c r="C439" s="409"/>
      <c r="D439" s="410"/>
      <c r="E439" s="276"/>
      <c r="F439" s="411"/>
      <c r="G439" s="408"/>
      <c r="H439" s="52"/>
      <c r="J439" s="54"/>
      <c r="M439" s="412"/>
    </row>
    <row r="440" ht="15.75" customHeight="1">
      <c r="A440" s="408"/>
      <c r="B440" s="408"/>
      <c r="C440" s="409"/>
      <c r="D440" s="410"/>
      <c r="E440" s="276"/>
      <c r="F440" s="411"/>
      <c r="G440" s="408"/>
      <c r="H440" s="52"/>
      <c r="J440" s="54"/>
      <c r="M440" s="412"/>
    </row>
    <row r="441" ht="15.75" customHeight="1">
      <c r="A441" s="408"/>
      <c r="B441" s="408"/>
      <c r="C441" s="409"/>
      <c r="D441" s="410"/>
      <c r="E441" s="276"/>
      <c r="F441" s="411"/>
      <c r="G441" s="408"/>
      <c r="H441" s="52"/>
      <c r="J441" s="54"/>
      <c r="M441" s="412"/>
    </row>
    <row r="442" ht="15.75" customHeight="1">
      <c r="A442" s="408"/>
      <c r="B442" s="408"/>
      <c r="C442" s="409"/>
      <c r="D442" s="410"/>
      <c r="E442" s="276"/>
      <c r="F442" s="411"/>
      <c r="G442" s="408"/>
      <c r="H442" s="52"/>
      <c r="J442" s="54"/>
      <c r="M442" s="412"/>
    </row>
    <row r="443" ht="15.75" customHeight="1">
      <c r="A443" s="408"/>
      <c r="B443" s="408"/>
      <c r="C443" s="409"/>
      <c r="D443" s="410"/>
      <c r="E443" s="276"/>
      <c r="F443" s="411"/>
      <c r="G443" s="408"/>
      <c r="H443" s="52"/>
      <c r="J443" s="54"/>
      <c r="M443" s="412"/>
    </row>
    <row r="444" ht="15.75" customHeight="1">
      <c r="A444" s="408"/>
      <c r="B444" s="408"/>
      <c r="C444" s="409"/>
      <c r="D444" s="410"/>
      <c r="E444" s="276"/>
      <c r="F444" s="411"/>
      <c r="G444" s="408"/>
      <c r="H444" s="52"/>
      <c r="J444" s="54"/>
      <c r="M444" s="412"/>
    </row>
    <row r="445" ht="15.75" customHeight="1">
      <c r="A445" s="408"/>
      <c r="B445" s="408"/>
      <c r="C445" s="409"/>
      <c r="D445" s="410"/>
      <c r="E445" s="276"/>
      <c r="F445" s="411"/>
      <c r="G445" s="408"/>
      <c r="H445" s="52"/>
      <c r="J445" s="54"/>
      <c r="M445" s="412"/>
    </row>
    <row r="446" ht="15.75" customHeight="1">
      <c r="A446" s="408"/>
      <c r="B446" s="408"/>
      <c r="C446" s="409"/>
      <c r="D446" s="410"/>
      <c r="E446" s="276"/>
      <c r="F446" s="411"/>
      <c r="G446" s="408"/>
      <c r="H446" s="52"/>
      <c r="J446" s="54"/>
      <c r="M446" s="412"/>
    </row>
    <row r="447" ht="15.75" customHeight="1">
      <c r="A447" s="408"/>
      <c r="B447" s="408"/>
      <c r="C447" s="409"/>
      <c r="D447" s="410"/>
      <c r="E447" s="276"/>
      <c r="F447" s="411"/>
      <c r="G447" s="408"/>
      <c r="H447" s="52"/>
      <c r="J447" s="54"/>
      <c r="M447" s="412"/>
    </row>
    <row r="448" ht="15.75" customHeight="1">
      <c r="A448" s="408"/>
      <c r="B448" s="408"/>
      <c r="C448" s="409"/>
      <c r="D448" s="410"/>
      <c r="E448" s="276"/>
      <c r="F448" s="411"/>
      <c r="G448" s="408"/>
      <c r="H448" s="52"/>
      <c r="J448" s="54"/>
      <c r="M448" s="412"/>
    </row>
    <row r="449" ht="15.75" customHeight="1">
      <c r="A449" s="408"/>
      <c r="B449" s="408"/>
      <c r="C449" s="409"/>
      <c r="D449" s="410"/>
      <c r="E449" s="276"/>
      <c r="F449" s="411"/>
      <c r="G449" s="408"/>
      <c r="H449" s="52"/>
      <c r="J449" s="54"/>
      <c r="M449" s="412"/>
    </row>
    <row r="450" ht="15.75" customHeight="1">
      <c r="A450" s="408"/>
      <c r="B450" s="408"/>
      <c r="C450" s="409"/>
      <c r="D450" s="410"/>
      <c r="E450" s="276"/>
      <c r="F450" s="411"/>
      <c r="G450" s="408"/>
      <c r="H450" s="52"/>
      <c r="J450" s="54"/>
      <c r="M450" s="412"/>
    </row>
    <row r="451" ht="15.75" customHeight="1">
      <c r="A451" s="408"/>
      <c r="B451" s="408"/>
      <c r="C451" s="409"/>
      <c r="D451" s="410"/>
      <c r="E451" s="276"/>
      <c r="F451" s="411"/>
      <c r="G451" s="408"/>
      <c r="H451" s="52"/>
      <c r="J451" s="54"/>
      <c r="M451" s="412"/>
    </row>
    <row r="452" ht="15.75" customHeight="1">
      <c r="A452" s="408"/>
      <c r="B452" s="408"/>
      <c r="C452" s="409"/>
      <c r="D452" s="410"/>
      <c r="E452" s="276"/>
      <c r="F452" s="411"/>
      <c r="G452" s="408"/>
      <c r="H452" s="52"/>
      <c r="J452" s="54"/>
      <c r="M452" s="412"/>
    </row>
    <row r="453" ht="15.75" customHeight="1">
      <c r="A453" s="408"/>
      <c r="B453" s="408"/>
      <c r="C453" s="409"/>
      <c r="D453" s="410"/>
      <c r="E453" s="276"/>
      <c r="F453" s="411"/>
      <c r="G453" s="408"/>
      <c r="H453" s="52"/>
      <c r="J453" s="54"/>
      <c r="M453" s="412"/>
    </row>
    <row r="454" ht="15.75" customHeight="1">
      <c r="A454" s="408"/>
      <c r="B454" s="408"/>
      <c r="C454" s="409"/>
      <c r="D454" s="410"/>
      <c r="E454" s="276"/>
      <c r="F454" s="411"/>
      <c r="G454" s="408"/>
      <c r="H454" s="52"/>
      <c r="J454" s="54"/>
      <c r="M454" s="412"/>
    </row>
    <row r="455" ht="15.75" customHeight="1">
      <c r="A455" s="408"/>
      <c r="B455" s="408"/>
      <c r="C455" s="409"/>
      <c r="D455" s="410"/>
      <c r="E455" s="276"/>
      <c r="F455" s="411"/>
      <c r="G455" s="408"/>
      <c r="H455" s="52"/>
      <c r="J455" s="54"/>
      <c r="M455" s="412"/>
    </row>
    <row r="456" ht="15.75" customHeight="1">
      <c r="A456" s="408"/>
      <c r="B456" s="408"/>
      <c r="C456" s="409"/>
      <c r="D456" s="410"/>
      <c r="E456" s="276"/>
      <c r="F456" s="411"/>
      <c r="G456" s="408"/>
      <c r="H456" s="52"/>
      <c r="J456" s="54"/>
      <c r="M456" s="412"/>
    </row>
    <row r="457" ht="15.75" customHeight="1">
      <c r="A457" s="408"/>
      <c r="B457" s="408"/>
      <c r="C457" s="409"/>
      <c r="D457" s="410"/>
      <c r="E457" s="276"/>
      <c r="F457" s="411"/>
      <c r="G457" s="408"/>
      <c r="H457" s="52"/>
      <c r="J457" s="54"/>
      <c r="M457" s="412"/>
    </row>
    <row r="458" ht="15.75" customHeight="1">
      <c r="A458" s="408"/>
      <c r="B458" s="408"/>
      <c r="C458" s="409"/>
      <c r="D458" s="410"/>
      <c r="E458" s="276"/>
      <c r="F458" s="411"/>
      <c r="G458" s="408"/>
      <c r="H458" s="52"/>
      <c r="J458" s="54"/>
      <c r="M458" s="412"/>
    </row>
    <row r="459" ht="15.75" customHeight="1">
      <c r="A459" s="408"/>
      <c r="B459" s="408"/>
      <c r="C459" s="409"/>
      <c r="D459" s="410"/>
      <c r="E459" s="276"/>
      <c r="F459" s="411"/>
      <c r="G459" s="408"/>
      <c r="H459" s="52"/>
      <c r="J459" s="54"/>
      <c r="M459" s="412"/>
    </row>
    <row r="460" ht="15.75" customHeight="1">
      <c r="A460" s="408"/>
      <c r="B460" s="408"/>
      <c r="C460" s="409"/>
      <c r="D460" s="410"/>
      <c r="E460" s="276"/>
      <c r="F460" s="411"/>
      <c r="G460" s="408"/>
      <c r="H460" s="52"/>
      <c r="J460" s="54"/>
      <c r="M460" s="412"/>
    </row>
    <row r="461" ht="15.75" customHeight="1">
      <c r="A461" s="408"/>
      <c r="B461" s="408"/>
      <c r="C461" s="409"/>
      <c r="D461" s="410"/>
      <c r="E461" s="276"/>
      <c r="F461" s="411"/>
      <c r="G461" s="408"/>
      <c r="H461" s="52"/>
      <c r="J461" s="54"/>
      <c r="M461" s="412"/>
    </row>
    <row r="462" ht="15.75" customHeight="1">
      <c r="A462" s="408"/>
      <c r="B462" s="408"/>
      <c r="C462" s="409"/>
      <c r="D462" s="410"/>
      <c r="E462" s="276"/>
      <c r="F462" s="411"/>
      <c r="G462" s="408"/>
      <c r="H462" s="52"/>
      <c r="J462" s="54"/>
      <c r="M462" s="412"/>
    </row>
    <row r="463" ht="15.75" customHeight="1">
      <c r="A463" s="408"/>
      <c r="B463" s="408"/>
      <c r="C463" s="409"/>
      <c r="D463" s="410"/>
      <c r="E463" s="276"/>
      <c r="F463" s="411"/>
      <c r="G463" s="408"/>
      <c r="H463" s="52"/>
      <c r="J463" s="54"/>
      <c r="M463" s="412"/>
    </row>
    <row r="464" ht="15.75" customHeight="1">
      <c r="A464" s="408"/>
      <c r="B464" s="408"/>
      <c r="C464" s="409"/>
      <c r="D464" s="410"/>
      <c r="E464" s="276"/>
      <c r="F464" s="411"/>
      <c r="G464" s="408"/>
      <c r="H464" s="52"/>
      <c r="J464" s="54"/>
      <c r="M464" s="412"/>
    </row>
    <row r="465" ht="15.75" customHeight="1">
      <c r="A465" s="408"/>
      <c r="B465" s="408"/>
      <c r="C465" s="409"/>
      <c r="D465" s="410"/>
      <c r="E465" s="276"/>
      <c r="F465" s="411"/>
      <c r="G465" s="408"/>
      <c r="H465" s="52"/>
      <c r="J465" s="54"/>
      <c r="M465" s="412"/>
    </row>
    <row r="466" ht="15.75" customHeight="1">
      <c r="A466" s="408"/>
      <c r="B466" s="408"/>
      <c r="C466" s="409"/>
      <c r="D466" s="410"/>
      <c r="E466" s="276"/>
      <c r="F466" s="411"/>
      <c r="G466" s="408"/>
      <c r="H466" s="52"/>
      <c r="J466" s="54"/>
      <c r="M466" s="412"/>
    </row>
    <row r="467" ht="15.75" customHeight="1">
      <c r="A467" s="408"/>
      <c r="B467" s="408"/>
      <c r="C467" s="409"/>
      <c r="D467" s="410"/>
      <c r="E467" s="276"/>
      <c r="F467" s="411"/>
      <c r="G467" s="408"/>
      <c r="H467" s="52"/>
      <c r="J467" s="54"/>
      <c r="M467" s="412"/>
    </row>
    <row r="468" ht="15.75" customHeight="1">
      <c r="A468" s="408"/>
      <c r="B468" s="408"/>
      <c r="C468" s="409"/>
      <c r="D468" s="410"/>
      <c r="E468" s="276"/>
      <c r="F468" s="411"/>
      <c r="G468" s="408"/>
      <c r="H468" s="52"/>
      <c r="J468" s="54"/>
      <c r="M468" s="412"/>
    </row>
    <row r="469" ht="15.75" customHeight="1">
      <c r="A469" s="408"/>
      <c r="B469" s="408"/>
      <c r="C469" s="409"/>
      <c r="D469" s="410"/>
      <c r="E469" s="276"/>
      <c r="F469" s="411"/>
      <c r="G469" s="408"/>
      <c r="H469" s="52"/>
      <c r="J469" s="54"/>
      <c r="M469" s="412"/>
    </row>
    <row r="470" ht="15.75" customHeight="1">
      <c r="A470" s="408"/>
      <c r="B470" s="408"/>
      <c r="C470" s="409"/>
      <c r="D470" s="410"/>
      <c r="E470" s="276"/>
      <c r="F470" s="411"/>
      <c r="G470" s="408"/>
      <c r="H470" s="52"/>
      <c r="J470" s="54"/>
      <c r="M470" s="412"/>
    </row>
    <row r="471" ht="15.75" customHeight="1">
      <c r="A471" s="408"/>
      <c r="B471" s="408"/>
      <c r="C471" s="409"/>
      <c r="D471" s="410"/>
      <c r="E471" s="276"/>
      <c r="F471" s="411"/>
      <c r="G471" s="408"/>
      <c r="H471" s="52"/>
      <c r="J471" s="54"/>
      <c r="M471" s="412"/>
    </row>
    <row r="472" ht="15.75" customHeight="1">
      <c r="A472" s="408"/>
      <c r="B472" s="408"/>
      <c r="C472" s="409"/>
      <c r="D472" s="410"/>
      <c r="E472" s="276"/>
      <c r="F472" s="411"/>
      <c r="G472" s="408"/>
      <c r="H472" s="52"/>
      <c r="J472" s="54"/>
      <c r="M472" s="412"/>
    </row>
    <row r="473" ht="15.75" customHeight="1">
      <c r="A473" s="408"/>
      <c r="B473" s="408"/>
      <c r="C473" s="409"/>
      <c r="D473" s="410"/>
      <c r="E473" s="276"/>
      <c r="F473" s="411"/>
      <c r="G473" s="408"/>
      <c r="H473" s="52"/>
      <c r="J473" s="54"/>
      <c r="M473" s="412"/>
    </row>
    <row r="474" ht="15.75" customHeight="1">
      <c r="A474" s="408"/>
      <c r="B474" s="408"/>
      <c r="C474" s="409"/>
      <c r="D474" s="410"/>
      <c r="E474" s="276"/>
      <c r="F474" s="411"/>
      <c r="G474" s="408"/>
      <c r="H474" s="52"/>
      <c r="J474" s="54"/>
      <c r="M474" s="412"/>
    </row>
    <row r="475" ht="15.75" customHeight="1">
      <c r="A475" s="408"/>
      <c r="B475" s="408"/>
      <c r="C475" s="409"/>
      <c r="D475" s="410"/>
      <c r="E475" s="276"/>
      <c r="F475" s="411"/>
      <c r="G475" s="408"/>
      <c r="H475" s="52"/>
      <c r="J475" s="54"/>
      <c r="M475" s="412"/>
    </row>
    <row r="476" ht="15.75" customHeight="1">
      <c r="A476" s="408"/>
      <c r="B476" s="408"/>
      <c r="C476" s="409"/>
      <c r="D476" s="410"/>
      <c r="E476" s="276"/>
      <c r="F476" s="411"/>
      <c r="G476" s="408"/>
      <c r="H476" s="52"/>
      <c r="J476" s="54"/>
      <c r="M476" s="412"/>
    </row>
    <row r="477" ht="15.75" customHeight="1">
      <c r="A477" s="408"/>
      <c r="B477" s="408"/>
      <c r="C477" s="409"/>
      <c r="D477" s="410"/>
      <c r="E477" s="276"/>
      <c r="F477" s="411"/>
      <c r="G477" s="408"/>
      <c r="H477" s="52"/>
      <c r="J477" s="54"/>
      <c r="M477" s="412"/>
    </row>
    <row r="478" ht="15.75" customHeight="1">
      <c r="A478" s="408"/>
      <c r="B478" s="408"/>
      <c r="C478" s="409"/>
      <c r="D478" s="410"/>
      <c r="E478" s="276"/>
      <c r="F478" s="411"/>
      <c r="G478" s="408"/>
      <c r="H478" s="52"/>
      <c r="J478" s="54"/>
      <c r="M478" s="412"/>
    </row>
    <row r="479" ht="15.75" customHeight="1">
      <c r="A479" s="408"/>
      <c r="B479" s="408"/>
      <c r="C479" s="409"/>
      <c r="D479" s="410"/>
      <c r="E479" s="276"/>
      <c r="F479" s="411"/>
      <c r="G479" s="408"/>
      <c r="H479" s="52"/>
      <c r="J479" s="54"/>
      <c r="M479" s="412"/>
    </row>
    <row r="480" ht="15.75" customHeight="1">
      <c r="A480" s="408"/>
      <c r="B480" s="408"/>
      <c r="C480" s="409"/>
      <c r="D480" s="410"/>
      <c r="E480" s="276"/>
      <c r="F480" s="411"/>
      <c r="G480" s="408"/>
      <c r="H480" s="52"/>
      <c r="J480" s="54"/>
      <c r="M480" s="412"/>
    </row>
    <row r="481" ht="15.75" customHeight="1">
      <c r="A481" s="408"/>
      <c r="B481" s="408"/>
      <c r="C481" s="409"/>
      <c r="D481" s="410"/>
      <c r="E481" s="276"/>
      <c r="F481" s="411"/>
      <c r="G481" s="408"/>
      <c r="H481" s="52"/>
      <c r="J481" s="54"/>
      <c r="M481" s="412"/>
    </row>
    <row r="482" ht="15.75" customHeight="1">
      <c r="A482" s="408"/>
      <c r="B482" s="408"/>
      <c r="C482" s="409"/>
      <c r="D482" s="410"/>
      <c r="E482" s="276"/>
      <c r="F482" s="411"/>
      <c r="G482" s="408"/>
      <c r="H482" s="52"/>
      <c r="J482" s="54"/>
      <c r="M482" s="412"/>
    </row>
    <row r="483" ht="15.75" customHeight="1">
      <c r="A483" s="408"/>
      <c r="B483" s="408"/>
      <c r="C483" s="409"/>
      <c r="D483" s="410"/>
      <c r="E483" s="276"/>
      <c r="F483" s="411"/>
      <c r="G483" s="408"/>
      <c r="H483" s="52"/>
      <c r="J483" s="54"/>
      <c r="M483" s="412"/>
    </row>
    <row r="484" ht="15.75" customHeight="1">
      <c r="A484" s="408"/>
      <c r="B484" s="408"/>
      <c r="C484" s="409"/>
      <c r="D484" s="410"/>
      <c r="E484" s="276"/>
      <c r="F484" s="411"/>
      <c r="G484" s="408"/>
      <c r="H484" s="52"/>
      <c r="J484" s="54"/>
      <c r="M484" s="412"/>
    </row>
    <row r="485" ht="15.75" customHeight="1">
      <c r="A485" s="408"/>
      <c r="B485" s="408"/>
      <c r="C485" s="409"/>
      <c r="D485" s="410"/>
      <c r="E485" s="276"/>
      <c r="F485" s="411"/>
      <c r="G485" s="408"/>
      <c r="H485" s="52"/>
      <c r="J485" s="54"/>
      <c r="M485" s="412"/>
    </row>
    <row r="486" ht="15.75" customHeight="1">
      <c r="A486" s="408"/>
      <c r="B486" s="408"/>
      <c r="C486" s="409"/>
      <c r="D486" s="410"/>
      <c r="E486" s="276"/>
      <c r="F486" s="411"/>
      <c r="G486" s="408"/>
      <c r="H486" s="52"/>
      <c r="J486" s="54"/>
      <c r="M486" s="412"/>
    </row>
    <row r="487" ht="15.75" customHeight="1">
      <c r="A487" s="408"/>
      <c r="B487" s="408"/>
      <c r="C487" s="409"/>
      <c r="D487" s="410"/>
      <c r="E487" s="276"/>
      <c r="F487" s="411"/>
      <c r="G487" s="408"/>
      <c r="H487" s="52"/>
      <c r="J487" s="54"/>
      <c r="M487" s="412"/>
    </row>
    <row r="488" ht="15.75" customHeight="1">
      <c r="A488" s="408"/>
      <c r="B488" s="408"/>
      <c r="C488" s="409"/>
      <c r="D488" s="410"/>
      <c r="E488" s="276"/>
      <c r="F488" s="411"/>
      <c r="G488" s="408"/>
      <c r="H488" s="52"/>
      <c r="J488" s="54"/>
      <c r="M488" s="412"/>
    </row>
    <row r="489" ht="15.75" customHeight="1">
      <c r="A489" s="408"/>
      <c r="B489" s="408"/>
      <c r="C489" s="409"/>
      <c r="D489" s="410"/>
      <c r="E489" s="276"/>
      <c r="F489" s="411"/>
      <c r="G489" s="408"/>
      <c r="H489" s="52"/>
      <c r="J489" s="54"/>
      <c r="M489" s="412"/>
    </row>
    <row r="490" ht="15.75" customHeight="1">
      <c r="A490" s="408"/>
      <c r="B490" s="408"/>
      <c r="C490" s="409"/>
      <c r="D490" s="410"/>
      <c r="E490" s="276"/>
      <c r="F490" s="411"/>
      <c r="G490" s="408"/>
      <c r="H490" s="52"/>
      <c r="J490" s="54"/>
      <c r="M490" s="412"/>
    </row>
    <row r="491" ht="15.75" customHeight="1">
      <c r="A491" s="408"/>
      <c r="B491" s="408"/>
      <c r="C491" s="409"/>
      <c r="D491" s="410"/>
      <c r="E491" s="276"/>
      <c r="F491" s="411"/>
      <c r="G491" s="408"/>
      <c r="H491" s="52"/>
      <c r="J491" s="54"/>
      <c r="M491" s="412"/>
    </row>
    <row r="492" ht="15.75" customHeight="1">
      <c r="A492" s="408"/>
      <c r="B492" s="408"/>
      <c r="C492" s="409"/>
      <c r="D492" s="410"/>
      <c r="E492" s="276"/>
      <c r="F492" s="411"/>
      <c r="G492" s="408"/>
      <c r="H492" s="52"/>
      <c r="J492" s="54"/>
      <c r="M492" s="412"/>
    </row>
    <row r="493" ht="15.75" customHeight="1">
      <c r="A493" s="408"/>
      <c r="B493" s="408"/>
      <c r="C493" s="409"/>
      <c r="D493" s="410"/>
      <c r="E493" s="276"/>
      <c r="F493" s="411"/>
      <c r="G493" s="408"/>
      <c r="H493" s="52"/>
      <c r="J493" s="54"/>
      <c r="M493" s="412"/>
    </row>
    <row r="494" ht="15.75" customHeight="1">
      <c r="A494" s="408"/>
      <c r="B494" s="408"/>
      <c r="C494" s="409"/>
      <c r="D494" s="410"/>
      <c r="E494" s="276"/>
      <c r="F494" s="411"/>
      <c r="G494" s="408"/>
      <c r="H494" s="52"/>
      <c r="J494" s="54"/>
      <c r="M494" s="412"/>
    </row>
    <row r="495" ht="15.75" customHeight="1">
      <c r="A495" s="408"/>
      <c r="B495" s="408"/>
      <c r="C495" s="409"/>
      <c r="D495" s="410"/>
      <c r="E495" s="276"/>
      <c r="F495" s="411"/>
      <c r="G495" s="408"/>
      <c r="H495" s="52"/>
      <c r="J495" s="54"/>
      <c r="M495" s="412"/>
    </row>
    <row r="496" ht="15.75" customHeight="1">
      <c r="A496" s="408"/>
      <c r="B496" s="408"/>
      <c r="C496" s="409"/>
      <c r="D496" s="410"/>
      <c r="E496" s="276"/>
      <c r="F496" s="411"/>
      <c r="G496" s="408"/>
      <c r="H496" s="52"/>
      <c r="J496" s="54"/>
      <c r="M496" s="412"/>
    </row>
    <row r="497" ht="15.75" customHeight="1">
      <c r="A497" s="408"/>
      <c r="B497" s="408"/>
      <c r="C497" s="409"/>
      <c r="D497" s="410"/>
      <c r="E497" s="276"/>
      <c r="F497" s="411"/>
      <c r="G497" s="408"/>
      <c r="H497" s="52"/>
      <c r="J497" s="54"/>
      <c r="M497" s="412"/>
    </row>
    <row r="498" ht="15.75" customHeight="1">
      <c r="A498" s="408"/>
      <c r="B498" s="408"/>
      <c r="C498" s="409"/>
      <c r="D498" s="410"/>
      <c r="E498" s="276"/>
      <c r="F498" s="411"/>
      <c r="G498" s="408"/>
      <c r="H498" s="52"/>
      <c r="J498" s="54"/>
      <c r="M498" s="412"/>
    </row>
    <row r="499" ht="15.75" customHeight="1">
      <c r="A499" s="408"/>
      <c r="B499" s="408"/>
      <c r="C499" s="409"/>
      <c r="D499" s="410"/>
      <c r="E499" s="276"/>
      <c r="F499" s="411"/>
      <c r="G499" s="408"/>
      <c r="H499" s="52"/>
      <c r="J499" s="54"/>
      <c r="M499" s="412"/>
    </row>
    <row r="500" ht="15.75" customHeight="1">
      <c r="A500" s="408"/>
      <c r="B500" s="408"/>
      <c r="C500" s="409"/>
      <c r="D500" s="410"/>
      <c r="E500" s="276"/>
      <c r="F500" s="411"/>
      <c r="G500" s="408"/>
      <c r="H500" s="52"/>
      <c r="J500" s="54"/>
      <c r="M500" s="412"/>
    </row>
    <row r="501" ht="15.75" customHeight="1">
      <c r="A501" s="408"/>
      <c r="B501" s="408"/>
      <c r="C501" s="409"/>
      <c r="D501" s="410"/>
      <c r="E501" s="276"/>
      <c r="F501" s="411"/>
      <c r="G501" s="408"/>
      <c r="H501" s="52"/>
      <c r="J501" s="54"/>
      <c r="M501" s="412"/>
    </row>
    <row r="502" ht="15.75" customHeight="1">
      <c r="A502" s="408"/>
      <c r="B502" s="408"/>
      <c r="C502" s="409"/>
      <c r="D502" s="410"/>
      <c r="E502" s="276"/>
      <c r="F502" s="411"/>
      <c r="G502" s="408"/>
      <c r="H502" s="52"/>
      <c r="J502" s="54"/>
      <c r="M502" s="412"/>
    </row>
    <row r="503" ht="15.75" customHeight="1">
      <c r="A503" s="408"/>
      <c r="B503" s="408"/>
      <c r="C503" s="409"/>
      <c r="D503" s="410"/>
      <c r="E503" s="276"/>
      <c r="F503" s="411"/>
      <c r="G503" s="408"/>
      <c r="H503" s="52"/>
      <c r="J503" s="54"/>
      <c r="M503" s="412"/>
    </row>
    <row r="504" ht="15.75" customHeight="1">
      <c r="A504" s="408"/>
      <c r="B504" s="408"/>
      <c r="C504" s="409"/>
      <c r="D504" s="410"/>
      <c r="E504" s="276"/>
      <c r="F504" s="411"/>
      <c r="G504" s="408"/>
      <c r="H504" s="52"/>
      <c r="J504" s="54"/>
      <c r="M504" s="412"/>
    </row>
    <row r="505" ht="15.75" customHeight="1">
      <c r="A505" s="408"/>
      <c r="B505" s="408"/>
      <c r="C505" s="409"/>
      <c r="D505" s="410"/>
      <c r="E505" s="276"/>
      <c r="F505" s="411"/>
      <c r="G505" s="408"/>
      <c r="H505" s="52"/>
      <c r="J505" s="54"/>
      <c r="M505" s="412"/>
    </row>
    <row r="506" ht="15.75" customHeight="1">
      <c r="A506" s="408"/>
      <c r="B506" s="408"/>
      <c r="C506" s="409"/>
      <c r="D506" s="410"/>
      <c r="E506" s="276"/>
      <c r="F506" s="411"/>
      <c r="G506" s="408"/>
      <c r="H506" s="52"/>
      <c r="J506" s="54"/>
      <c r="M506" s="412"/>
    </row>
    <row r="507" ht="15.75" customHeight="1">
      <c r="A507" s="408"/>
      <c r="B507" s="408"/>
      <c r="C507" s="409"/>
      <c r="D507" s="410"/>
      <c r="E507" s="276"/>
      <c r="F507" s="411"/>
      <c r="G507" s="408"/>
      <c r="H507" s="52"/>
      <c r="J507" s="54"/>
      <c r="M507" s="412"/>
    </row>
    <row r="508" ht="15.75" customHeight="1">
      <c r="A508" s="408"/>
      <c r="B508" s="408"/>
      <c r="C508" s="409"/>
      <c r="D508" s="410"/>
      <c r="E508" s="276"/>
      <c r="F508" s="411"/>
      <c r="G508" s="408"/>
      <c r="H508" s="52"/>
      <c r="J508" s="54"/>
      <c r="M508" s="412"/>
    </row>
    <row r="509" ht="15.75" customHeight="1">
      <c r="A509" s="408"/>
      <c r="B509" s="408"/>
      <c r="C509" s="409"/>
      <c r="D509" s="410"/>
      <c r="E509" s="276"/>
      <c r="F509" s="411"/>
      <c r="G509" s="408"/>
      <c r="H509" s="52"/>
      <c r="J509" s="54"/>
      <c r="M509" s="412"/>
    </row>
    <row r="510" ht="15.75" customHeight="1">
      <c r="A510" s="408"/>
      <c r="B510" s="408"/>
      <c r="C510" s="409"/>
      <c r="D510" s="410"/>
      <c r="E510" s="276"/>
      <c r="F510" s="411"/>
      <c r="G510" s="408"/>
      <c r="H510" s="52"/>
      <c r="J510" s="54"/>
      <c r="M510" s="412"/>
    </row>
    <row r="511" ht="15.75" customHeight="1">
      <c r="A511" s="408"/>
      <c r="B511" s="408"/>
      <c r="C511" s="409"/>
      <c r="D511" s="410"/>
      <c r="E511" s="276"/>
      <c r="F511" s="411"/>
      <c r="G511" s="408"/>
      <c r="H511" s="52"/>
      <c r="J511" s="54"/>
      <c r="M511" s="412"/>
    </row>
    <row r="512" ht="15.75" customHeight="1">
      <c r="A512" s="408"/>
      <c r="B512" s="408"/>
      <c r="C512" s="409"/>
      <c r="D512" s="410"/>
      <c r="E512" s="276"/>
      <c r="F512" s="411"/>
      <c r="G512" s="408"/>
      <c r="H512" s="52"/>
      <c r="J512" s="54"/>
      <c r="M512" s="412"/>
    </row>
    <row r="513" ht="15.75" customHeight="1">
      <c r="A513" s="408"/>
      <c r="B513" s="408"/>
      <c r="C513" s="409"/>
      <c r="D513" s="410"/>
      <c r="E513" s="276"/>
      <c r="F513" s="411"/>
      <c r="G513" s="408"/>
      <c r="H513" s="52"/>
      <c r="J513" s="54"/>
      <c r="M513" s="412"/>
    </row>
    <row r="514" ht="15.75" customHeight="1">
      <c r="A514" s="408"/>
      <c r="B514" s="408"/>
      <c r="C514" s="409"/>
      <c r="D514" s="410"/>
      <c r="E514" s="276"/>
      <c r="F514" s="411"/>
      <c r="G514" s="408"/>
      <c r="H514" s="52"/>
      <c r="J514" s="54"/>
      <c r="M514" s="412"/>
    </row>
    <row r="515" ht="15.75" customHeight="1">
      <c r="A515" s="408"/>
      <c r="B515" s="408"/>
      <c r="C515" s="409"/>
      <c r="D515" s="410"/>
      <c r="E515" s="276"/>
      <c r="F515" s="411"/>
      <c r="G515" s="408"/>
      <c r="H515" s="52"/>
      <c r="J515" s="54"/>
      <c r="M515" s="412"/>
    </row>
    <row r="516" ht="15.75" customHeight="1">
      <c r="A516" s="408"/>
      <c r="B516" s="408"/>
      <c r="C516" s="409"/>
      <c r="D516" s="410"/>
      <c r="E516" s="276"/>
      <c r="F516" s="411"/>
      <c r="G516" s="408"/>
      <c r="H516" s="52"/>
      <c r="J516" s="54"/>
      <c r="M516" s="412"/>
    </row>
    <row r="517" ht="15.75" customHeight="1">
      <c r="A517" s="408"/>
      <c r="B517" s="408"/>
      <c r="C517" s="409"/>
      <c r="D517" s="410"/>
      <c r="E517" s="276"/>
      <c r="F517" s="411"/>
      <c r="G517" s="408"/>
      <c r="H517" s="52"/>
      <c r="J517" s="54"/>
      <c r="M517" s="412"/>
    </row>
    <row r="518" ht="15.75" customHeight="1">
      <c r="A518" s="408"/>
      <c r="B518" s="408"/>
      <c r="C518" s="409"/>
      <c r="D518" s="410"/>
      <c r="E518" s="276"/>
      <c r="F518" s="411"/>
      <c r="G518" s="408"/>
      <c r="H518" s="52"/>
      <c r="J518" s="54"/>
      <c r="M518" s="412"/>
    </row>
    <row r="519" ht="15.75" customHeight="1">
      <c r="A519" s="408"/>
      <c r="B519" s="408"/>
      <c r="C519" s="409"/>
      <c r="D519" s="410"/>
      <c r="E519" s="276"/>
      <c r="F519" s="411"/>
      <c r="G519" s="408"/>
      <c r="H519" s="52"/>
      <c r="J519" s="54"/>
      <c r="M519" s="412"/>
    </row>
    <row r="520" ht="15.75" customHeight="1">
      <c r="A520" s="408"/>
      <c r="B520" s="408"/>
      <c r="C520" s="409"/>
      <c r="D520" s="410"/>
      <c r="E520" s="276"/>
      <c r="F520" s="411"/>
      <c r="G520" s="408"/>
      <c r="H520" s="52"/>
      <c r="J520" s="54"/>
      <c r="M520" s="412"/>
    </row>
    <row r="521" ht="15.75" customHeight="1">
      <c r="A521" s="408"/>
      <c r="B521" s="408"/>
      <c r="C521" s="409"/>
      <c r="D521" s="410"/>
      <c r="E521" s="276"/>
      <c r="F521" s="411"/>
      <c r="G521" s="408"/>
      <c r="H521" s="52"/>
      <c r="J521" s="54"/>
      <c r="M521" s="412"/>
    </row>
    <row r="522" ht="15.75" customHeight="1">
      <c r="A522" s="408"/>
      <c r="B522" s="408"/>
      <c r="C522" s="409"/>
      <c r="D522" s="410"/>
      <c r="E522" s="276"/>
      <c r="F522" s="411"/>
      <c r="G522" s="408"/>
      <c r="H522" s="52"/>
      <c r="J522" s="54"/>
      <c r="M522" s="412"/>
    </row>
    <row r="523" ht="15.75" customHeight="1">
      <c r="A523" s="408"/>
      <c r="B523" s="408"/>
      <c r="C523" s="409"/>
      <c r="D523" s="410"/>
      <c r="E523" s="276"/>
      <c r="F523" s="411"/>
      <c r="G523" s="408"/>
      <c r="H523" s="52"/>
      <c r="J523" s="54"/>
      <c r="M523" s="412"/>
    </row>
    <row r="524" ht="15.75" customHeight="1">
      <c r="A524" s="408"/>
      <c r="B524" s="408"/>
      <c r="C524" s="409"/>
      <c r="D524" s="410"/>
      <c r="E524" s="276"/>
      <c r="F524" s="411"/>
      <c r="G524" s="408"/>
      <c r="H524" s="52"/>
      <c r="J524" s="54"/>
      <c r="M524" s="412"/>
    </row>
    <row r="525" ht="15.75" customHeight="1">
      <c r="A525" s="408"/>
      <c r="B525" s="408"/>
      <c r="C525" s="409"/>
      <c r="D525" s="410"/>
      <c r="E525" s="276"/>
      <c r="F525" s="411"/>
      <c r="G525" s="408"/>
      <c r="H525" s="52"/>
      <c r="J525" s="54"/>
      <c r="M525" s="412"/>
    </row>
    <row r="526" ht="15.75" customHeight="1">
      <c r="A526" s="408"/>
      <c r="B526" s="408"/>
      <c r="C526" s="409"/>
      <c r="D526" s="410"/>
      <c r="E526" s="276"/>
      <c r="F526" s="411"/>
      <c r="G526" s="408"/>
      <c r="H526" s="52"/>
      <c r="J526" s="54"/>
      <c r="M526" s="412"/>
    </row>
    <row r="527" ht="15.75" customHeight="1">
      <c r="A527" s="408"/>
      <c r="B527" s="408"/>
      <c r="C527" s="409"/>
      <c r="D527" s="410"/>
      <c r="E527" s="276"/>
      <c r="F527" s="411"/>
      <c r="G527" s="408"/>
      <c r="H527" s="52"/>
      <c r="J527" s="54"/>
      <c r="M527" s="412"/>
    </row>
    <row r="528" ht="15.75" customHeight="1">
      <c r="A528" s="408"/>
      <c r="B528" s="408"/>
      <c r="C528" s="409"/>
      <c r="D528" s="410"/>
      <c r="E528" s="276"/>
      <c r="F528" s="411"/>
      <c r="G528" s="408"/>
      <c r="H528" s="52"/>
      <c r="J528" s="54"/>
      <c r="M528" s="412"/>
    </row>
    <row r="529" ht="15.75" customHeight="1">
      <c r="A529" s="408"/>
      <c r="B529" s="408"/>
      <c r="C529" s="409"/>
      <c r="D529" s="410"/>
      <c r="E529" s="276"/>
      <c r="F529" s="411"/>
      <c r="G529" s="408"/>
      <c r="H529" s="52"/>
      <c r="J529" s="54"/>
      <c r="M529" s="412"/>
    </row>
    <row r="530" ht="15.75" customHeight="1">
      <c r="A530" s="408"/>
      <c r="B530" s="408"/>
      <c r="C530" s="409"/>
      <c r="D530" s="410"/>
      <c r="E530" s="276"/>
      <c r="F530" s="411"/>
      <c r="G530" s="408"/>
      <c r="H530" s="52"/>
      <c r="J530" s="54"/>
      <c r="M530" s="412"/>
    </row>
    <row r="531" ht="15.75" customHeight="1">
      <c r="A531" s="408"/>
      <c r="B531" s="408"/>
      <c r="C531" s="409"/>
      <c r="D531" s="410"/>
      <c r="E531" s="276"/>
      <c r="F531" s="411"/>
      <c r="G531" s="408"/>
      <c r="H531" s="52"/>
      <c r="J531" s="54"/>
      <c r="M531" s="412"/>
    </row>
    <row r="532" ht="15.75" customHeight="1">
      <c r="A532" s="408"/>
      <c r="B532" s="408"/>
      <c r="C532" s="409"/>
      <c r="D532" s="410"/>
      <c r="E532" s="276"/>
      <c r="F532" s="411"/>
      <c r="G532" s="408"/>
      <c r="H532" s="52"/>
      <c r="J532" s="54"/>
      <c r="M532" s="412"/>
    </row>
    <row r="533" ht="15.75" customHeight="1">
      <c r="A533" s="408"/>
      <c r="B533" s="408"/>
      <c r="C533" s="409"/>
      <c r="D533" s="410"/>
      <c r="E533" s="276"/>
      <c r="F533" s="411"/>
      <c r="G533" s="408"/>
      <c r="H533" s="52"/>
      <c r="J533" s="54"/>
      <c r="M533" s="412"/>
    </row>
    <row r="534" ht="15.75" customHeight="1">
      <c r="A534" s="408"/>
      <c r="B534" s="408"/>
      <c r="C534" s="409"/>
      <c r="D534" s="410"/>
      <c r="E534" s="276"/>
      <c r="F534" s="411"/>
      <c r="G534" s="408"/>
      <c r="H534" s="52"/>
      <c r="J534" s="54"/>
      <c r="M534" s="412"/>
    </row>
    <row r="535" ht="15.75" customHeight="1">
      <c r="A535" s="408"/>
      <c r="B535" s="408"/>
      <c r="C535" s="409"/>
      <c r="D535" s="410"/>
      <c r="E535" s="276"/>
      <c r="F535" s="411"/>
      <c r="G535" s="408"/>
      <c r="H535" s="52"/>
      <c r="J535" s="54"/>
      <c r="M535" s="412"/>
    </row>
    <row r="536" ht="15.75" customHeight="1">
      <c r="A536" s="408"/>
      <c r="B536" s="408"/>
      <c r="C536" s="409"/>
      <c r="D536" s="410"/>
      <c r="E536" s="276"/>
      <c r="F536" s="411"/>
      <c r="G536" s="408"/>
      <c r="H536" s="52"/>
      <c r="J536" s="54"/>
      <c r="M536" s="412"/>
    </row>
    <row r="537" ht="15.75" customHeight="1">
      <c r="A537" s="408"/>
      <c r="B537" s="408"/>
      <c r="C537" s="409"/>
      <c r="D537" s="410"/>
      <c r="E537" s="276"/>
      <c r="F537" s="411"/>
      <c r="G537" s="408"/>
      <c r="H537" s="52"/>
      <c r="J537" s="54"/>
      <c r="M537" s="412"/>
    </row>
    <row r="538" ht="15.75" customHeight="1">
      <c r="A538" s="408"/>
      <c r="B538" s="408"/>
      <c r="C538" s="409"/>
      <c r="D538" s="410"/>
      <c r="E538" s="276"/>
      <c r="F538" s="411"/>
      <c r="G538" s="408"/>
      <c r="H538" s="52"/>
      <c r="J538" s="54"/>
      <c r="M538" s="412"/>
    </row>
    <row r="539" ht="15.75" customHeight="1">
      <c r="A539" s="408"/>
      <c r="B539" s="408"/>
      <c r="C539" s="409"/>
      <c r="D539" s="410"/>
      <c r="E539" s="276"/>
      <c r="F539" s="411"/>
      <c r="G539" s="408"/>
      <c r="H539" s="52"/>
      <c r="J539" s="54"/>
      <c r="M539" s="412"/>
    </row>
    <row r="540" ht="15.75" customHeight="1">
      <c r="A540" s="408"/>
      <c r="B540" s="408"/>
      <c r="C540" s="409"/>
      <c r="D540" s="410"/>
      <c r="E540" s="276"/>
      <c r="F540" s="411"/>
      <c r="G540" s="408"/>
      <c r="H540" s="52"/>
      <c r="J540" s="54"/>
      <c r="M540" s="412"/>
    </row>
    <row r="541" ht="15.75" customHeight="1">
      <c r="A541" s="408"/>
      <c r="B541" s="408"/>
      <c r="C541" s="409"/>
      <c r="D541" s="410"/>
      <c r="E541" s="276"/>
      <c r="F541" s="411"/>
      <c r="G541" s="408"/>
      <c r="H541" s="52"/>
      <c r="J541" s="54"/>
      <c r="M541" s="412"/>
    </row>
    <row r="542" ht="15.75" customHeight="1">
      <c r="A542" s="408"/>
      <c r="B542" s="408"/>
      <c r="C542" s="409"/>
      <c r="D542" s="410"/>
      <c r="E542" s="276"/>
      <c r="F542" s="411"/>
      <c r="G542" s="408"/>
      <c r="H542" s="52"/>
      <c r="J542" s="54"/>
      <c r="M542" s="412"/>
    </row>
    <row r="543" ht="15.75" customHeight="1">
      <c r="A543" s="408"/>
      <c r="B543" s="408"/>
      <c r="C543" s="409"/>
      <c r="D543" s="410"/>
      <c r="E543" s="276"/>
      <c r="F543" s="411"/>
      <c r="G543" s="408"/>
      <c r="H543" s="52"/>
      <c r="J543" s="54"/>
      <c r="M543" s="412"/>
    </row>
    <row r="544" ht="15.75" customHeight="1">
      <c r="A544" s="408"/>
      <c r="B544" s="408"/>
      <c r="C544" s="409"/>
      <c r="D544" s="410"/>
      <c r="E544" s="276"/>
      <c r="F544" s="411"/>
      <c r="G544" s="408"/>
      <c r="H544" s="52"/>
      <c r="J544" s="54"/>
      <c r="M544" s="412"/>
    </row>
    <row r="545" ht="15.75" customHeight="1">
      <c r="A545" s="408"/>
      <c r="B545" s="408"/>
      <c r="C545" s="409"/>
      <c r="D545" s="410"/>
      <c r="E545" s="276"/>
      <c r="F545" s="411"/>
      <c r="G545" s="408"/>
      <c r="H545" s="52"/>
      <c r="J545" s="54"/>
      <c r="M545" s="412"/>
    </row>
    <row r="546" ht="15.75" customHeight="1">
      <c r="A546" s="408"/>
      <c r="B546" s="408"/>
      <c r="C546" s="409"/>
      <c r="D546" s="410"/>
      <c r="E546" s="276"/>
      <c r="F546" s="411"/>
      <c r="G546" s="408"/>
      <c r="H546" s="52"/>
      <c r="J546" s="54"/>
      <c r="M546" s="412"/>
    </row>
    <row r="547" ht="15.75" customHeight="1">
      <c r="A547" s="408"/>
      <c r="B547" s="408"/>
      <c r="C547" s="409"/>
      <c r="D547" s="410"/>
      <c r="E547" s="276"/>
      <c r="F547" s="411"/>
      <c r="G547" s="408"/>
      <c r="H547" s="52"/>
      <c r="J547" s="54"/>
      <c r="M547" s="412"/>
    </row>
    <row r="548" ht="15.75" customHeight="1">
      <c r="A548" s="408"/>
      <c r="B548" s="408"/>
      <c r="C548" s="409"/>
      <c r="D548" s="410"/>
      <c r="E548" s="276"/>
      <c r="F548" s="411"/>
      <c r="G548" s="408"/>
      <c r="H548" s="52"/>
      <c r="J548" s="54"/>
      <c r="M548" s="412"/>
    </row>
    <row r="549" ht="15.75" customHeight="1">
      <c r="A549" s="408"/>
      <c r="B549" s="408"/>
      <c r="C549" s="409"/>
      <c r="D549" s="410"/>
      <c r="E549" s="276"/>
      <c r="F549" s="411"/>
      <c r="G549" s="408"/>
      <c r="H549" s="52"/>
      <c r="J549" s="54"/>
      <c r="M549" s="412"/>
    </row>
    <row r="550" ht="15.75" customHeight="1">
      <c r="A550" s="408"/>
      <c r="B550" s="408"/>
      <c r="C550" s="409"/>
      <c r="D550" s="410"/>
      <c r="E550" s="276"/>
      <c r="F550" s="411"/>
      <c r="G550" s="408"/>
      <c r="H550" s="52"/>
      <c r="J550" s="54"/>
      <c r="M550" s="412"/>
    </row>
    <row r="551" ht="15.75" customHeight="1">
      <c r="A551" s="408"/>
      <c r="B551" s="408"/>
      <c r="C551" s="409"/>
      <c r="D551" s="410"/>
      <c r="E551" s="276"/>
      <c r="F551" s="411"/>
      <c r="G551" s="408"/>
      <c r="H551" s="52"/>
      <c r="J551" s="54"/>
      <c r="M551" s="412"/>
    </row>
    <row r="552" ht="15.75" customHeight="1">
      <c r="A552" s="408"/>
      <c r="B552" s="408"/>
      <c r="C552" s="409"/>
      <c r="D552" s="410"/>
      <c r="E552" s="276"/>
      <c r="F552" s="411"/>
      <c r="G552" s="408"/>
      <c r="H552" s="52"/>
      <c r="J552" s="54"/>
      <c r="M552" s="412"/>
    </row>
    <row r="553" ht="15.75" customHeight="1">
      <c r="A553" s="408"/>
      <c r="B553" s="408"/>
      <c r="C553" s="409"/>
      <c r="D553" s="410"/>
      <c r="E553" s="276"/>
      <c r="F553" s="411"/>
      <c r="G553" s="408"/>
      <c r="H553" s="52"/>
      <c r="J553" s="54"/>
      <c r="M553" s="412"/>
    </row>
    <row r="554" ht="15.75" customHeight="1">
      <c r="A554" s="408"/>
      <c r="B554" s="408"/>
      <c r="C554" s="409"/>
      <c r="D554" s="410"/>
      <c r="E554" s="276"/>
      <c r="F554" s="411"/>
      <c r="G554" s="408"/>
      <c r="H554" s="52"/>
      <c r="J554" s="54"/>
      <c r="M554" s="412"/>
    </row>
    <row r="555" ht="15.75" customHeight="1">
      <c r="A555" s="408"/>
      <c r="B555" s="408"/>
      <c r="C555" s="409"/>
      <c r="D555" s="410"/>
      <c r="E555" s="276"/>
      <c r="F555" s="411"/>
      <c r="G555" s="408"/>
      <c r="H555" s="52"/>
      <c r="J555" s="54"/>
      <c r="M555" s="412"/>
    </row>
    <row r="556" ht="15.75" customHeight="1">
      <c r="A556" s="408"/>
      <c r="B556" s="408"/>
      <c r="C556" s="409"/>
      <c r="D556" s="410"/>
      <c r="E556" s="276"/>
      <c r="F556" s="411"/>
      <c r="G556" s="408"/>
      <c r="H556" s="52"/>
      <c r="J556" s="54"/>
      <c r="M556" s="412"/>
    </row>
    <row r="557" ht="15.75" customHeight="1">
      <c r="A557" s="408"/>
      <c r="B557" s="408"/>
      <c r="C557" s="409"/>
      <c r="D557" s="410"/>
      <c r="E557" s="276"/>
      <c r="F557" s="411"/>
      <c r="G557" s="408"/>
      <c r="H557" s="52"/>
      <c r="J557" s="54"/>
      <c r="M557" s="412"/>
    </row>
    <row r="558" ht="15.75" customHeight="1">
      <c r="A558" s="408"/>
      <c r="B558" s="408"/>
      <c r="C558" s="409"/>
      <c r="D558" s="410"/>
      <c r="E558" s="276"/>
      <c r="F558" s="411"/>
      <c r="G558" s="408"/>
      <c r="H558" s="52"/>
      <c r="J558" s="54"/>
      <c r="M558" s="412"/>
    </row>
    <row r="559" ht="15.75" customHeight="1">
      <c r="A559" s="408"/>
      <c r="B559" s="408"/>
      <c r="C559" s="409"/>
      <c r="D559" s="410"/>
      <c r="E559" s="276"/>
      <c r="F559" s="411"/>
      <c r="G559" s="408"/>
      <c r="H559" s="52"/>
      <c r="J559" s="54"/>
      <c r="M559" s="412"/>
    </row>
    <row r="560" ht="15.75" customHeight="1">
      <c r="A560" s="408"/>
      <c r="B560" s="408"/>
      <c r="C560" s="409"/>
      <c r="D560" s="410"/>
      <c r="E560" s="276"/>
      <c r="F560" s="411"/>
      <c r="G560" s="408"/>
      <c r="H560" s="52"/>
      <c r="J560" s="54"/>
      <c r="M560" s="412"/>
    </row>
    <row r="561" ht="15.75" customHeight="1">
      <c r="A561" s="408"/>
      <c r="B561" s="408"/>
      <c r="C561" s="409"/>
      <c r="D561" s="410"/>
      <c r="E561" s="276"/>
      <c r="F561" s="411"/>
      <c r="G561" s="408"/>
      <c r="H561" s="52"/>
      <c r="J561" s="54"/>
      <c r="M561" s="412"/>
    </row>
    <row r="562" ht="15.75" customHeight="1">
      <c r="A562" s="408"/>
      <c r="B562" s="408"/>
      <c r="C562" s="409"/>
      <c r="D562" s="410"/>
      <c r="E562" s="276"/>
      <c r="F562" s="411"/>
      <c r="G562" s="408"/>
      <c r="H562" s="52"/>
      <c r="J562" s="54"/>
      <c r="M562" s="412"/>
    </row>
    <row r="563" ht="15.75" customHeight="1">
      <c r="A563" s="408"/>
      <c r="B563" s="408"/>
      <c r="C563" s="409"/>
      <c r="D563" s="410"/>
      <c r="E563" s="276"/>
      <c r="F563" s="411"/>
      <c r="G563" s="408"/>
      <c r="H563" s="52"/>
      <c r="J563" s="54"/>
      <c r="M563" s="412"/>
    </row>
    <row r="564" ht="15.75" customHeight="1">
      <c r="A564" s="408"/>
      <c r="B564" s="408"/>
      <c r="C564" s="409"/>
      <c r="D564" s="410"/>
      <c r="E564" s="276"/>
      <c r="F564" s="411"/>
      <c r="G564" s="408"/>
      <c r="H564" s="52"/>
      <c r="J564" s="54"/>
      <c r="M564" s="412"/>
    </row>
    <row r="565" ht="15.75" customHeight="1">
      <c r="A565" s="408"/>
      <c r="B565" s="408"/>
      <c r="C565" s="409"/>
      <c r="D565" s="410"/>
      <c r="E565" s="276"/>
      <c r="F565" s="411"/>
      <c r="G565" s="408"/>
      <c r="H565" s="52"/>
      <c r="J565" s="54"/>
      <c r="M565" s="412"/>
    </row>
    <row r="566" ht="15.75" customHeight="1">
      <c r="A566" s="408"/>
      <c r="B566" s="408"/>
      <c r="C566" s="409"/>
      <c r="D566" s="410"/>
      <c r="E566" s="276"/>
      <c r="F566" s="411"/>
      <c r="G566" s="408"/>
      <c r="H566" s="52"/>
      <c r="J566" s="54"/>
      <c r="M566" s="412"/>
    </row>
    <row r="567" ht="15.75" customHeight="1">
      <c r="A567" s="408"/>
      <c r="B567" s="408"/>
      <c r="C567" s="409"/>
      <c r="D567" s="410"/>
      <c r="E567" s="276"/>
      <c r="F567" s="411"/>
      <c r="G567" s="408"/>
      <c r="H567" s="52"/>
      <c r="J567" s="54"/>
      <c r="M567" s="412"/>
    </row>
    <row r="568" ht="15.75" customHeight="1">
      <c r="A568" s="408"/>
      <c r="B568" s="408"/>
      <c r="C568" s="409"/>
      <c r="D568" s="410"/>
      <c r="E568" s="276"/>
      <c r="F568" s="411"/>
      <c r="G568" s="408"/>
      <c r="H568" s="52"/>
      <c r="J568" s="54"/>
      <c r="M568" s="412"/>
    </row>
    <row r="569" ht="15.75" customHeight="1">
      <c r="A569" s="408"/>
      <c r="B569" s="408"/>
      <c r="C569" s="409"/>
      <c r="D569" s="410"/>
      <c r="E569" s="276"/>
      <c r="F569" s="411"/>
      <c r="G569" s="408"/>
      <c r="H569" s="52"/>
      <c r="J569" s="54"/>
      <c r="M569" s="412"/>
    </row>
    <row r="570" ht="15.75" customHeight="1">
      <c r="A570" s="408"/>
      <c r="B570" s="408"/>
      <c r="C570" s="409"/>
      <c r="D570" s="410"/>
      <c r="E570" s="276"/>
      <c r="F570" s="411"/>
      <c r="G570" s="408"/>
      <c r="H570" s="52"/>
      <c r="J570" s="54"/>
      <c r="M570" s="412"/>
    </row>
    <row r="571" ht="15.75" customHeight="1">
      <c r="A571" s="408"/>
      <c r="B571" s="408"/>
      <c r="C571" s="409"/>
      <c r="D571" s="410"/>
      <c r="E571" s="276"/>
      <c r="F571" s="411"/>
      <c r="G571" s="408"/>
      <c r="H571" s="52"/>
      <c r="J571" s="54"/>
      <c r="M571" s="412"/>
    </row>
    <row r="572" ht="15.75" customHeight="1">
      <c r="A572" s="408"/>
      <c r="B572" s="408"/>
      <c r="C572" s="409"/>
      <c r="D572" s="410"/>
      <c r="E572" s="276"/>
      <c r="F572" s="411"/>
      <c r="G572" s="408"/>
      <c r="H572" s="52"/>
      <c r="J572" s="54"/>
      <c r="M572" s="412"/>
    </row>
    <row r="573" ht="15.75" customHeight="1">
      <c r="A573" s="408"/>
      <c r="B573" s="408"/>
      <c r="C573" s="409"/>
      <c r="D573" s="410"/>
      <c r="E573" s="276"/>
      <c r="F573" s="411"/>
      <c r="G573" s="408"/>
      <c r="H573" s="52"/>
      <c r="J573" s="54"/>
      <c r="M573" s="412"/>
    </row>
    <row r="574" ht="15.75" customHeight="1">
      <c r="A574" s="408"/>
      <c r="B574" s="408"/>
      <c r="C574" s="409"/>
      <c r="D574" s="410"/>
      <c r="E574" s="276"/>
      <c r="F574" s="411"/>
      <c r="G574" s="408"/>
      <c r="H574" s="52"/>
      <c r="J574" s="54"/>
      <c r="M574" s="412"/>
    </row>
    <row r="575" ht="15.75" customHeight="1">
      <c r="A575" s="408"/>
      <c r="B575" s="408"/>
      <c r="C575" s="409"/>
      <c r="D575" s="410"/>
      <c r="E575" s="276"/>
      <c r="F575" s="411"/>
      <c r="G575" s="408"/>
      <c r="H575" s="52"/>
      <c r="J575" s="54"/>
      <c r="M575" s="412"/>
    </row>
    <row r="576" ht="15.75" customHeight="1">
      <c r="A576" s="408"/>
      <c r="B576" s="408"/>
      <c r="C576" s="409"/>
      <c r="D576" s="410"/>
      <c r="E576" s="276"/>
      <c r="F576" s="411"/>
      <c r="G576" s="408"/>
      <c r="H576" s="52"/>
      <c r="J576" s="54"/>
      <c r="M576" s="412"/>
    </row>
    <row r="577" ht="15.75" customHeight="1">
      <c r="A577" s="408"/>
      <c r="B577" s="408"/>
      <c r="C577" s="409"/>
      <c r="D577" s="410"/>
      <c r="E577" s="276"/>
      <c r="F577" s="411"/>
      <c r="G577" s="408"/>
      <c r="H577" s="52"/>
      <c r="J577" s="54"/>
      <c r="M577" s="412"/>
    </row>
    <row r="578" ht="15.75" customHeight="1">
      <c r="A578" s="408"/>
      <c r="B578" s="408"/>
      <c r="C578" s="409"/>
      <c r="D578" s="410"/>
      <c r="E578" s="276"/>
      <c r="F578" s="411"/>
      <c r="G578" s="408"/>
      <c r="H578" s="52"/>
      <c r="J578" s="54"/>
      <c r="M578" s="412"/>
    </row>
    <row r="579" ht="15.75" customHeight="1">
      <c r="A579" s="408"/>
      <c r="B579" s="408"/>
      <c r="C579" s="409"/>
      <c r="D579" s="410"/>
      <c r="E579" s="276"/>
      <c r="F579" s="411"/>
      <c r="G579" s="408"/>
      <c r="H579" s="52"/>
      <c r="J579" s="54"/>
      <c r="M579" s="412"/>
    </row>
    <row r="580" ht="15.75" customHeight="1">
      <c r="A580" s="408"/>
      <c r="B580" s="408"/>
      <c r="C580" s="409"/>
      <c r="D580" s="410"/>
      <c r="E580" s="276"/>
      <c r="F580" s="411"/>
      <c r="G580" s="408"/>
      <c r="H580" s="52"/>
      <c r="J580" s="54"/>
      <c r="M580" s="412"/>
    </row>
    <row r="581" ht="15.75" customHeight="1">
      <c r="A581" s="408"/>
      <c r="B581" s="408"/>
      <c r="C581" s="409"/>
      <c r="D581" s="410"/>
      <c r="E581" s="276"/>
      <c r="F581" s="411"/>
      <c r="G581" s="408"/>
      <c r="H581" s="52"/>
      <c r="J581" s="54"/>
      <c r="M581" s="412"/>
    </row>
    <row r="582" ht="15.75" customHeight="1">
      <c r="A582" s="408"/>
      <c r="B582" s="408"/>
      <c r="C582" s="409"/>
      <c r="D582" s="410"/>
      <c r="E582" s="276"/>
      <c r="F582" s="411"/>
      <c r="G582" s="408"/>
      <c r="H582" s="52"/>
      <c r="J582" s="54"/>
      <c r="M582" s="412"/>
    </row>
    <row r="583" ht="15.75" customHeight="1">
      <c r="A583" s="408"/>
      <c r="B583" s="408"/>
      <c r="C583" s="409"/>
      <c r="D583" s="410"/>
      <c r="E583" s="276"/>
      <c r="F583" s="411"/>
      <c r="G583" s="408"/>
      <c r="H583" s="52"/>
      <c r="J583" s="54"/>
      <c r="M583" s="412"/>
    </row>
    <row r="584" ht="15.75" customHeight="1">
      <c r="A584" s="408"/>
      <c r="B584" s="408"/>
      <c r="C584" s="409"/>
      <c r="D584" s="410"/>
      <c r="E584" s="276"/>
      <c r="F584" s="411"/>
      <c r="G584" s="408"/>
      <c r="H584" s="52"/>
      <c r="J584" s="54"/>
      <c r="M584" s="412"/>
    </row>
    <row r="585" ht="15.75" customHeight="1">
      <c r="A585" s="408"/>
      <c r="B585" s="408"/>
      <c r="C585" s="409"/>
      <c r="D585" s="410"/>
      <c r="E585" s="276"/>
      <c r="F585" s="411"/>
      <c r="G585" s="408"/>
      <c r="H585" s="52"/>
      <c r="J585" s="54"/>
      <c r="M585" s="412"/>
    </row>
    <row r="586" ht="15.75" customHeight="1">
      <c r="A586" s="408"/>
      <c r="B586" s="408"/>
      <c r="C586" s="409"/>
      <c r="D586" s="410"/>
      <c r="E586" s="276"/>
      <c r="F586" s="411"/>
      <c r="G586" s="408"/>
      <c r="H586" s="52"/>
      <c r="J586" s="54"/>
      <c r="M586" s="412"/>
    </row>
    <row r="587" ht="15.75" customHeight="1">
      <c r="A587" s="408"/>
      <c r="B587" s="408"/>
      <c r="C587" s="409"/>
      <c r="D587" s="410"/>
      <c r="E587" s="276"/>
      <c r="F587" s="411"/>
      <c r="G587" s="408"/>
      <c r="H587" s="52"/>
      <c r="J587" s="54"/>
      <c r="M587" s="412"/>
    </row>
    <row r="588" ht="15.75" customHeight="1">
      <c r="A588" s="408"/>
      <c r="B588" s="408"/>
      <c r="C588" s="409"/>
      <c r="D588" s="410"/>
      <c r="E588" s="276"/>
      <c r="F588" s="411"/>
      <c r="G588" s="408"/>
      <c r="H588" s="52"/>
      <c r="J588" s="54"/>
      <c r="M588" s="412"/>
    </row>
    <row r="589" ht="15.75" customHeight="1">
      <c r="A589" s="408"/>
      <c r="B589" s="408"/>
      <c r="C589" s="409"/>
      <c r="D589" s="410"/>
      <c r="E589" s="276"/>
      <c r="F589" s="411"/>
      <c r="G589" s="408"/>
      <c r="H589" s="52"/>
      <c r="J589" s="54"/>
      <c r="M589" s="412"/>
    </row>
    <row r="590" ht="15.75" customHeight="1">
      <c r="A590" s="408"/>
      <c r="B590" s="408"/>
      <c r="C590" s="409"/>
      <c r="D590" s="410"/>
      <c r="E590" s="276"/>
      <c r="F590" s="411"/>
      <c r="G590" s="408"/>
      <c r="H590" s="52"/>
      <c r="J590" s="54"/>
      <c r="M590" s="412"/>
    </row>
    <row r="591" ht="15.75" customHeight="1">
      <c r="A591" s="408"/>
      <c r="B591" s="408"/>
      <c r="C591" s="409"/>
      <c r="D591" s="410"/>
      <c r="E591" s="276"/>
      <c r="F591" s="411"/>
      <c r="G591" s="408"/>
      <c r="H591" s="52"/>
      <c r="J591" s="54"/>
      <c r="M591" s="412"/>
    </row>
    <row r="592" ht="15.75" customHeight="1">
      <c r="A592" s="408"/>
      <c r="B592" s="408"/>
      <c r="C592" s="409"/>
      <c r="D592" s="410"/>
      <c r="E592" s="276"/>
      <c r="F592" s="411"/>
      <c r="G592" s="408"/>
      <c r="H592" s="52"/>
      <c r="J592" s="54"/>
      <c r="M592" s="412"/>
    </row>
    <row r="593" ht="15.75" customHeight="1">
      <c r="A593" s="408"/>
      <c r="B593" s="408"/>
      <c r="C593" s="409"/>
      <c r="D593" s="410"/>
      <c r="E593" s="276"/>
      <c r="F593" s="411"/>
      <c r="G593" s="408"/>
      <c r="H593" s="52"/>
      <c r="J593" s="54"/>
      <c r="M593" s="412"/>
    </row>
    <row r="594" ht="15.75" customHeight="1">
      <c r="A594" s="408"/>
      <c r="B594" s="408"/>
      <c r="C594" s="409"/>
      <c r="D594" s="410"/>
      <c r="E594" s="276"/>
      <c r="F594" s="411"/>
      <c r="G594" s="408"/>
      <c r="H594" s="52"/>
      <c r="J594" s="54"/>
      <c r="M594" s="412"/>
    </row>
    <row r="595" ht="15.75" customHeight="1">
      <c r="A595" s="408"/>
      <c r="B595" s="408"/>
      <c r="C595" s="409"/>
      <c r="D595" s="410"/>
      <c r="E595" s="276"/>
      <c r="F595" s="411"/>
      <c r="G595" s="408"/>
      <c r="H595" s="52"/>
      <c r="J595" s="54"/>
      <c r="M595" s="412"/>
    </row>
    <row r="596" ht="15.75" customHeight="1">
      <c r="A596" s="408"/>
      <c r="B596" s="408"/>
      <c r="C596" s="409"/>
      <c r="D596" s="410"/>
      <c r="E596" s="276"/>
      <c r="F596" s="411"/>
      <c r="G596" s="408"/>
      <c r="H596" s="52"/>
      <c r="J596" s="54"/>
      <c r="M596" s="412"/>
    </row>
    <row r="597" ht="15.75" customHeight="1">
      <c r="A597" s="408"/>
      <c r="B597" s="408"/>
      <c r="C597" s="409"/>
      <c r="D597" s="410"/>
      <c r="E597" s="276"/>
      <c r="F597" s="411"/>
      <c r="G597" s="408"/>
      <c r="H597" s="52"/>
      <c r="J597" s="54"/>
      <c r="M597" s="412"/>
    </row>
    <row r="598" ht="15.75" customHeight="1">
      <c r="A598" s="408"/>
      <c r="B598" s="408"/>
      <c r="C598" s="409"/>
      <c r="D598" s="410"/>
      <c r="E598" s="276"/>
      <c r="F598" s="411"/>
      <c r="G598" s="408"/>
      <c r="H598" s="52"/>
      <c r="J598" s="54"/>
      <c r="M598" s="412"/>
    </row>
    <row r="599" ht="15.75" customHeight="1">
      <c r="A599" s="408"/>
      <c r="B599" s="408"/>
      <c r="C599" s="409"/>
      <c r="D599" s="410"/>
      <c r="E599" s="276"/>
      <c r="F599" s="411"/>
      <c r="G599" s="408"/>
      <c r="H599" s="52"/>
      <c r="J599" s="54"/>
      <c r="M599" s="412"/>
    </row>
    <row r="600" ht="15.75" customHeight="1">
      <c r="A600" s="408"/>
      <c r="B600" s="408"/>
      <c r="C600" s="409"/>
      <c r="D600" s="410"/>
      <c r="E600" s="276"/>
      <c r="F600" s="411"/>
      <c r="G600" s="408"/>
      <c r="H600" s="52"/>
      <c r="J600" s="54"/>
      <c r="M600" s="412"/>
    </row>
    <row r="601" ht="15.75" customHeight="1">
      <c r="A601" s="408"/>
      <c r="B601" s="408"/>
      <c r="C601" s="409"/>
      <c r="D601" s="410"/>
      <c r="E601" s="276"/>
      <c r="F601" s="411"/>
      <c r="G601" s="408"/>
      <c r="H601" s="52"/>
      <c r="J601" s="54"/>
      <c r="M601" s="412"/>
    </row>
    <row r="602" ht="15.75" customHeight="1">
      <c r="A602" s="408"/>
      <c r="B602" s="408"/>
      <c r="C602" s="409"/>
      <c r="D602" s="410"/>
      <c r="E602" s="276"/>
      <c r="F602" s="411"/>
      <c r="G602" s="408"/>
      <c r="H602" s="52"/>
      <c r="J602" s="54"/>
      <c r="M602" s="412"/>
    </row>
    <row r="603" ht="15.75" customHeight="1">
      <c r="A603" s="408"/>
      <c r="B603" s="408"/>
      <c r="C603" s="409"/>
      <c r="D603" s="410"/>
      <c r="E603" s="276"/>
      <c r="F603" s="411"/>
      <c r="G603" s="408"/>
      <c r="H603" s="52"/>
      <c r="J603" s="54"/>
      <c r="M603" s="412"/>
    </row>
    <row r="604" ht="15.75" customHeight="1">
      <c r="A604" s="408"/>
      <c r="B604" s="408"/>
      <c r="C604" s="409"/>
      <c r="D604" s="410"/>
      <c r="E604" s="276"/>
      <c r="F604" s="411"/>
      <c r="G604" s="408"/>
      <c r="H604" s="52"/>
      <c r="J604" s="54"/>
      <c r="M604" s="412"/>
    </row>
    <row r="605" ht="15.75" customHeight="1">
      <c r="A605" s="408"/>
      <c r="B605" s="408"/>
      <c r="C605" s="409"/>
      <c r="D605" s="410"/>
      <c r="E605" s="276"/>
      <c r="F605" s="411"/>
      <c r="G605" s="408"/>
      <c r="H605" s="52"/>
      <c r="J605" s="54"/>
      <c r="M605" s="412"/>
    </row>
    <row r="606" ht="15.75" customHeight="1">
      <c r="A606" s="408"/>
      <c r="B606" s="408"/>
      <c r="C606" s="409"/>
      <c r="D606" s="410"/>
      <c r="E606" s="276"/>
      <c r="F606" s="411"/>
      <c r="G606" s="408"/>
      <c r="H606" s="52"/>
      <c r="J606" s="54"/>
      <c r="M606" s="412"/>
    </row>
    <row r="607" ht="15.75" customHeight="1">
      <c r="A607" s="408"/>
      <c r="B607" s="408"/>
      <c r="C607" s="409"/>
      <c r="D607" s="410"/>
      <c r="E607" s="276"/>
      <c r="F607" s="411"/>
      <c r="G607" s="408"/>
      <c r="H607" s="52"/>
      <c r="J607" s="54"/>
      <c r="M607" s="412"/>
    </row>
    <row r="608" ht="15.75" customHeight="1">
      <c r="A608" s="408"/>
      <c r="B608" s="408"/>
      <c r="C608" s="409"/>
      <c r="D608" s="410"/>
      <c r="E608" s="276"/>
      <c r="F608" s="411"/>
      <c r="G608" s="408"/>
      <c r="H608" s="52"/>
      <c r="J608" s="54"/>
      <c r="M608" s="412"/>
    </row>
    <row r="609" ht="15.75" customHeight="1">
      <c r="A609" s="408"/>
      <c r="B609" s="408"/>
      <c r="C609" s="409"/>
      <c r="D609" s="410"/>
      <c r="E609" s="276"/>
      <c r="F609" s="411"/>
      <c r="G609" s="408"/>
      <c r="H609" s="52"/>
      <c r="J609" s="54"/>
      <c r="M609" s="412"/>
    </row>
    <row r="610" ht="15.75" customHeight="1">
      <c r="A610" s="408"/>
      <c r="B610" s="408"/>
      <c r="C610" s="409"/>
      <c r="D610" s="410"/>
      <c r="E610" s="276"/>
      <c r="F610" s="411"/>
      <c r="G610" s="408"/>
      <c r="H610" s="52"/>
      <c r="J610" s="54"/>
      <c r="M610" s="412"/>
    </row>
    <row r="611" ht="15.75" customHeight="1">
      <c r="A611" s="408"/>
      <c r="B611" s="408"/>
      <c r="C611" s="409"/>
      <c r="D611" s="410"/>
      <c r="E611" s="276"/>
      <c r="F611" s="411"/>
      <c r="G611" s="408"/>
      <c r="H611" s="52"/>
      <c r="J611" s="54"/>
      <c r="M611" s="412"/>
    </row>
    <row r="612" ht="15.75" customHeight="1">
      <c r="A612" s="408"/>
      <c r="B612" s="408"/>
      <c r="C612" s="409"/>
      <c r="D612" s="410"/>
      <c r="E612" s="276"/>
      <c r="F612" s="411"/>
      <c r="G612" s="408"/>
      <c r="H612" s="52"/>
      <c r="J612" s="54"/>
      <c r="M612" s="412"/>
    </row>
    <row r="613" ht="15.75" customHeight="1">
      <c r="A613" s="408"/>
      <c r="B613" s="408"/>
      <c r="C613" s="409"/>
      <c r="D613" s="410"/>
      <c r="E613" s="276"/>
      <c r="F613" s="411"/>
      <c r="G613" s="408"/>
      <c r="H613" s="52"/>
      <c r="J613" s="54"/>
      <c r="M613" s="412"/>
    </row>
    <row r="614" ht="15.75" customHeight="1">
      <c r="A614" s="408"/>
      <c r="B614" s="408"/>
      <c r="C614" s="409"/>
      <c r="D614" s="410"/>
      <c r="E614" s="276"/>
      <c r="F614" s="411"/>
      <c r="G614" s="408"/>
      <c r="H614" s="52"/>
      <c r="J614" s="54"/>
      <c r="M614" s="412"/>
    </row>
    <row r="615" ht="15.75" customHeight="1">
      <c r="A615" s="408"/>
      <c r="B615" s="408"/>
      <c r="C615" s="409"/>
      <c r="D615" s="410"/>
      <c r="E615" s="276"/>
      <c r="F615" s="411"/>
      <c r="G615" s="408"/>
      <c r="H615" s="52"/>
      <c r="J615" s="54"/>
      <c r="M615" s="412"/>
    </row>
    <row r="616" ht="15.75" customHeight="1">
      <c r="A616" s="408"/>
      <c r="B616" s="408"/>
      <c r="C616" s="409"/>
      <c r="D616" s="410"/>
      <c r="E616" s="276"/>
      <c r="F616" s="411"/>
      <c r="G616" s="408"/>
      <c r="H616" s="52"/>
      <c r="J616" s="54"/>
      <c r="M616" s="412"/>
    </row>
    <row r="617" ht="15.75" customHeight="1">
      <c r="A617" s="408"/>
      <c r="B617" s="408"/>
      <c r="C617" s="409"/>
      <c r="D617" s="410"/>
      <c r="E617" s="276"/>
      <c r="F617" s="411"/>
      <c r="G617" s="408"/>
      <c r="H617" s="52"/>
      <c r="J617" s="54"/>
      <c r="M617" s="412"/>
    </row>
    <row r="618" ht="15.75" customHeight="1">
      <c r="A618" s="408"/>
      <c r="B618" s="408"/>
      <c r="C618" s="409"/>
      <c r="D618" s="410"/>
      <c r="E618" s="276"/>
      <c r="F618" s="411"/>
      <c r="G618" s="408"/>
      <c r="H618" s="52"/>
      <c r="J618" s="54"/>
      <c r="M618" s="412"/>
    </row>
    <row r="619" ht="15.75" customHeight="1">
      <c r="A619" s="408"/>
      <c r="B619" s="408"/>
      <c r="C619" s="409"/>
      <c r="D619" s="410"/>
      <c r="E619" s="276"/>
      <c r="F619" s="411"/>
      <c r="G619" s="408"/>
      <c r="H619" s="52"/>
      <c r="J619" s="54"/>
      <c r="M619" s="412"/>
    </row>
    <row r="620" ht="15.75" customHeight="1">
      <c r="A620" s="408"/>
      <c r="B620" s="408"/>
      <c r="C620" s="409"/>
      <c r="D620" s="410"/>
      <c r="E620" s="276"/>
      <c r="F620" s="411"/>
      <c r="G620" s="408"/>
      <c r="H620" s="52"/>
      <c r="J620" s="54"/>
      <c r="M620" s="412"/>
    </row>
    <row r="621" ht="15.75" customHeight="1">
      <c r="A621" s="408"/>
      <c r="B621" s="408"/>
      <c r="C621" s="409"/>
      <c r="D621" s="410"/>
      <c r="E621" s="276"/>
      <c r="F621" s="411"/>
      <c r="G621" s="408"/>
      <c r="H621" s="52"/>
      <c r="J621" s="54"/>
      <c r="M621" s="412"/>
    </row>
    <row r="622" ht="15.75" customHeight="1">
      <c r="A622" s="408"/>
      <c r="B622" s="408"/>
      <c r="C622" s="409"/>
      <c r="D622" s="410"/>
      <c r="E622" s="276"/>
      <c r="F622" s="411"/>
      <c r="G622" s="408"/>
      <c r="H622" s="52"/>
      <c r="J622" s="54"/>
      <c r="M622" s="412"/>
    </row>
    <row r="623" ht="15.75" customHeight="1">
      <c r="A623" s="408"/>
      <c r="B623" s="408"/>
      <c r="C623" s="409"/>
      <c r="D623" s="410"/>
      <c r="E623" s="276"/>
      <c r="F623" s="411"/>
      <c r="G623" s="408"/>
      <c r="H623" s="52"/>
      <c r="J623" s="54"/>
      <c r="M623" s="412"/>
    </row>
    <row r="624" ht="15.75" customHeight="1">
      <c r="A624" s="408"/>
      <c r="B624" s="408"/>
      <c r="C624" s="409"/>
      <c r="D624" s="410"/>
      <c r="E624" s="276"/>
      <c r="F624" s="411"/>
      <c r="G624" s="408"/>
      <c r="H624" s="52"/>
      <c r="J624" s="54"/>
      <c r="M624" s="412"/>
    </row>
    <row r="625" ht="15.75" customHeight="1">
      <c r="A625" s="408"/>
      <c r="B625" s="408"/>
      <c r="C625" s="409"/>
      <c r="D625" s="410"/>
      <c r="E625" s="276"/>
      <c r="F625" s="411"/>
      <c r="G625" s="408"/>
      <c r="H625" s="52"/>
      <c r="J625" s="54"/>
      <c r="M625" s="412"/>
    </row>
    <row r="626" ht="15.75" customHeight="1">
      <c r="A626" s="408"/>
      <c r="B626" s="408"/>
      <c r="C626" s="409"/>
      <c r="D626" s="410"/>
      <c r="E626" s="276"/>
      <c r="F626" s="411"/>
      <c r="G626" s="408"/>
      <c r="H626" s="52"/>
      <c r="J626" s="54"/>
      <c r="M626" s="412"/>
    </row>
    <row r="627" ht="15.75" customHeight="1">
      <c r="A627" s="408"/>
      <c r="B627" s="408"/>
      <c r="C627" s="409"/>
      <c r="D627" s="410"/>
      <c r="E627" s="276"/>
      <c r="F627" s="411"/>
      <c r="G627" s="408"/>
      <c r="H627" s="52"/>
      <c r="J627" s="54"/>
      <c r="M627" s="412"/>
    </row>
    <row r="628" ht="15.75" customHeight="1">
      <c r="A628" s="408"/>
      <c r="B628" s="408"/>
      <c r="C628" s="409"/>
      <c r="D628" s="410"/>
      <c r="E628" s="276"/>
      <c r="F628" s="411"/>
      <c r="G628" s="408"/>
      <c r="H628" s="52"/>
      <c r="J628" s="54"/>
      <c r="M628" s="412"/>
    </row>
    <row r="629" ht="15.75" customHeight="1">
      <c r="A629" s="408"/>
      <c r="B629" s="408"/>
      <c r="C629" s="409"/>
      <c r="D629" s="410"/>
      <c r="E629" s="276"/>
      <c r="F629" s="411"/>
      <c r="G629" s="408"/>
      <c r="H629" s="52"/>
      <c r="J629" s="54"/>
      <c r="M629" s="412"/>
    </row>
    <row r="630" ht="15.75" customHeight="1">
      <c r="A630" s="408"/>
      <c r="B630" s="408"/>
      <c r="C630" s="409"/>
      <c r="D630" s="410"/>
      <c r="E630" s="276"/>
      <c r="F630" s="411"/>
      <c r="G630" s="408"/>
      <c r="H630" s="52"/>
      <c r="J630" s="54"/>
      <c r="M630" s="412"/>
    </row>
    <row r="631" ht="15.75" customHeight="1">
      <c r="A631" s="408"/>
      <c r="B631" s="408"/>
      <c r="C631" s="409"/>
      <c r="D631" s="410"/>
      <c r="E631" s="276"/>
      <c r="F631" s="411"/>
      <c r="G631" s="408"/>
      <c r="H631" s="52"/>
      <c r="J631" s="54"/>
      <c r="M631" s="412"/>
    </row>
    <row r="632" ht="15.75" customHeight="1">
      <c r="A632" s="408"/>
      <c r="B632" s="408"/>
      <c r="C632" s="409"/>
      <c r="D632" s="410"/>
      <c r="E632" s="276"/>
      <c r="F632" s="411"/>
      <c r="G632" s="408"/>
      <c r="H632" s="52"/>
      <c r="J632" s="54"/>
      <c r="M632" s="412"/>
    </row>
    <row r="633" ht="15.75" customHeight="1">
      <c r="A633" s="408"/>
      <c r="B633" s="408"/>
      <c r="C633" s="409"/>
      <c r="D633" s="410"/>
      <c r="E633" s="276"/>
      <c r="F633" s="411"/>
      <c r="G633" s="408"/>
      <c r="H633" s="52"/>
      <c r="J633" s="54"/>
      <c r="M633" s="412"/>
    </row>
    <row r="634" ht="15.75" customHeight="1">
      <c r="A634" s="408"/>
      <c r="B634" s="408"/>
      <c r="C634" s="409"/>
      <c r="D634" s="410"/>
      <c r="E634" s="276"/>
      <c r="F634" s="411"/>
      <c r="G634" s="408"/>
      <c r="H634" s="52"/>
      <c r="J634" s="54"/>
      <c r="M634" s="412"/>
    </row>
    <row r="635" ht="15.75" customHeight="1">
      <c r="A635" s="408"/>
      <c r="B635" s="408"/>
      <c r="C635" s="409"/>
      <c r="D635" s="410"/>
      <c r="E635" s="276"/>
      <c r="F635" s="411"/>
      <c r="G635" s="408"/>
      <c r="H635" s="52"/>
      <c r="J635" s="54"/>
      <c r="M635" s="412"/>
    </row>
    <row r="636" ht="15.75" customHeight="1">
      <c r="A636" s="408"/>
      <c r="B636" s="408"/>
      <c r="C636" s="409"/>
      <c r="D636" s="410"/>
      <c r="E636" s="276"/>
      <c r="F636" s="411"/>
      <c r="G636" s="408"/>
      <c r="H636" s="52"/>
      <c r="J636" s="54"/>
      <c r="M636" s="412"/>
    </row>
    <row r="637" ht="15.75" customHeight="1">
      <c r="A637" s="408"/>
      <c r="B637" s="408"/>
      <c r="C637" s="409"/>
      <c r="D637" s="410"/>
      <c r="E637" s="276"/>
      <c r="F637" s="411"/>
      <c r="G637" s="408"/>
      <c r="H637" s="52"/>
      <c r="J637" s="54"/>
      <c r="M637" s="412"/>
    </row>
    <row r="638" ht="15.75" customHeight="1">
      <c r="A638" s="408"/>
      <c r="B638" s="408"/>
      <c r="C638" s="409"/>
      <c r="D638" s="410"/>
      <c r="E638" s="276"/>
      <c r="F638" s="411"/>
      <c r="G638" s="408"/>
      <c r="H638" s="52"/>
      <c r="J638" s="54"/>
      <c r="M638" s="412"/>
    </row>
    <row r="639" ht="15.75" customHeight="1">
      <c r="A639" s="408"/>
      <c r="B639" s="408"/>
      <c r="C639" s="409"/>
      <c r="D639" s="410"/>
      <c r="E639" s="276"/>
      <c r="F639" s="411"/>
      <c r="G639" s="408"/>
      <c r="H639" s="52"/>
      <c r="J639" s="54"/>
      <c r="M639" s="412"/>
    </row>
    <row r="640" ht="15.75" customHeight="1">
      <c r="A640" s="408"/>
      <c r="B640" s="408"/>
      <c r="C640" s="409"/>
      <c r="D640" s="410"/>
      <c r="E640" s="276"/>
      <c r="F640" s="411"/>
      <c r="G640" s="408"/>
      <c r="H640" s="52"/>
      <c r="J640" s="54"/>
      <c r="M640" s="412"/>
    </row>
    <row r="641" ht="15.75" customHeight="1">
      <c r="A641" s="408"/>
      <c r="B641" s="408"/>
      <c r="C641" s="409"/>
      <c r="D641" s="410"/>
      <c r="E641" s="276"/>
      <c r="F641" s="411"/>
      <c r="G641" s="408"/>
      <c r="H641" s="52"/>
      <c r="J641" s="54"/>
      <c r="M641" s="412"/>
    </row>
    <row r="642" ht="15.75" customHeight="1">
      <c r="A642" s="408"/>
      <c r="B642" s="408"/>
      <c r="C642" s="409"/>
      <c r="D642" s="410"/>
      <c r="E642" s="276"/>
      <c r="F642" s="411"/>
      <c r="G642" s="408"/>
      <c r="H642" s="52"/>
      <c r="J642" s="54"/>
      <c r="M642" s="412"/>
    </row>
    <row r="643" ht="15.75" customHeight="1">
      <c r="A643" s="408"/>
      <c r="B643" s="408"/>
      <c r="C643" s="409"/>
      <c r="D643" s="410"/>
      <c r="E643" s="276"/>
      <c r="F643" s="411"/>
      <c r="G643" s="408"/>
      <c r="H643" s="52"/>
      <c r="J643" s="54"/>
      <c r="M643" s="412"/>
    </row>
    <row r="644" ht="15.75" customHeight="1">
      <c r="A644" s="408"/>
      <c r="B644" s="408"/>
      <c r="C644" s="409"/>
      <c r="D644" s="410"/>
      <c r="E644" s="276"/>
      <c r="F644" s="411"/>
      <c r="G644" s="408"/>
      <c r="H644" s="52"/>
      <c r="J644" s="54"/>
      <c r="M644" s="412"/>
    </row>
    <row r="645" ht="15.75" customHeight="1">
      <c r="A645" s="408"/>
      <c r="B645" s="408"/>
      <c r="C645" s="409"/>
      <c r="D645" s="410"/>
      <c r="E645" s="276"/>
      <c r="F645" s="411"/>
      <c r="G645" s="408"/>
      <c r="H645" s="52"/>
      <c r="J645" s="54"/>
      <c r="M645" s="412"/>
    </row>
    <row r="646" ht="15.75" customHeight="1">
      <c r="A646" s="408"/>
      <c r="B646" s="408"/>
      <c r="C646" s="409"/>
      <c r="D646" s="410"/>
      <c r="E646" s="276"/>
      <c r="F646" s="411"/>
      <c r="G646" s="408"/>
      <c r="H646" s="52"/>
      <c r="J646" s="54"/>
      <c r="M646" s="412"/>
    </row>
    <row r="647" ht="15.75" customHeight="1">
      <c r="A647" s="408"/>
      <c r="B647" s="408"/>
      <c r="C647" s="409"/>
      <c r="D647" s="410"/>
      <c r="E647" s="276"/>
      <c r="F647" s="411"/>
      <c r="G647" s="408"/>
      <c r="H647" s="52"/>
      <c r="J647" s="54"/>
      <c r="M647" s="412"/>
    </row>
    <row r="648" ht="15.75" customHeight="1">
      <c r="A648" s="408"/>
      <c r="B648" s="408"/>
      <c r="C648" s="409"/>
      <c r="D648" s="410"/>
      <c r="E648" s="276"/>
      <c r="F648" s="411"/>
      <c r="G648" s="408"/>
      <c r="H648" s="52"/>
      <c r="J648" s="54"/>
      <c r="M648" s="412"/>
    </row>
    <row r="649" ht="15.75" customHeight="1">
      <c r="A649" s="408"/>
      <c r="B649" s="408"/>
      <c r="C649" s="409"/>
      <c r="D649" s="410"/>
      <c r="E649" s="276"/>
      <c r="F649" s="411"/>
      <c r="G649" s="408"/>
      <c r="H649" s="52"/>
      <c r="J649" s="54"/>
      <c r="M649" s="412"/>
    </row>
    <row r="650" ht="15.75" customHeight="1">
      <c r="A650" s="408"/>
      <c r="B650" s="408"/>
      <c r="C650" s="409"/>
      <c r="D650" s="410"/>
      <c r="E650" s="276"/>
      <c r="F650" s="411"/>
      <c r="G650" s="408"/>
      <c r="H650" s="52"/>
      <c r="J650" s="54"/>
      <c r="M650" s="412"/>
    </row>
    <row r="651" ht="15.75" customHeight="1">
      <c r="A651" s="408"/>
      <c r="B651" s="408"/>
      <c r="C651" s="409"/>
      <c r="D651" s="410"/>
      <c r="E651" s="276"/>
      <c r="F651" s="411"/>
      <c r="G651" s="408"/>
      <c r="H651" s="52"/>
      <c r="J651" s="54"/>
      <c r="M651" s="412"/>
    </row>
    <row r="652" ht="15.75" customHeight="1">
      <c r="A652" s="408"/>
      <c r="B652" s="408"/>
      <c r="C652" s="409"/>
      <c r="D652" s="410"/>
      <c r="E652" s="276"/>
      <c r="F652" s="411"/>
      <c r="G652" s="408"/>
      <c r="H652" s="52"/>
      <c r="J652" s="54"/>
      <c r="M652" s="412"/>
    </row>
    <row r="653" ht="15.75" customHeight="1">
      <c r="A653" s="408"/>
      <c r="B653" s="408"/>
      <c r="C653" s="409"/>
      <c r="D653" s="410"/>
      <c r="E653" s="276"/>
      <c r="F653" s="411"/>
      <c r="G653" s="408"/>
      <c r="H653" s="52"/>
      <c r="J653" s="54"/>
      <c r="M653" s="412"/>
    </row>
    <row r="654" ht="15.75" customHeight="1">
      <c r="A654" s="408"/>
      <c r="B654" s="408"/>
      <c r="C654" s="409"/>
      <c r="D654" s="410"/>
      <c r="E654" s="276"/>
      <c r="F654" s="411"/>
      <c r="G654" s="408"/>
      <c r="H654" s="52"/>
      <c r="J654" s="54"/>
      <c r="M654" s="412"/>
    </row>
    <row r="655" ht="15.75" customHeight="1">
      <c r="A655" s="408"/>
      <c r="B655" s="408"/>
      <c r="C655" s="409"/>
      <c r="D655" s="410"/>
      <c r="E655" s="276"/>
      <c r="F655" s="411"/>
      <c r="G655" s="408"/>
      <c r="H655" s="52"/>
      <c r="J655" s="54"/>
      <c r="M655" s="412"/>
    </row>
    <row r="656" ht="15.75" customHeight="1">
      <c r="A656" s="408"/>
      <c r="B656" s="408"/>
      <c r="C656" s="409"/>
      <c r="D656" s="410"/>
      <c r="E656" s="276"/>
      <c r="F656" s="411"/>
      <c r="G656" s="408"/>
      <c r="H656" s="52"/>
      <c r="J656" s="54"/>
      <c r="M656" s="412"/>
    </row>
    <row r="657" ht="15.75" customHeight="1">
      <c r="A657" s="408"/>
      <c r="B657" s="408"/>
      <c r="C657" s="409"/>
      <c r="D657" s="410"/>
      <c r="E657" s="276"/>
      <c r="F657" s="411"/>
      <c r="G657" s="408"/>
      <c r="H657" s="52"/>
      <c r="J657" s="54"/>
      <c r="M657" s="412"/>
    </row>
    <row r="658" ht="15.75" customHeight="1">
      <c r="A658" s="408"/>
      <c r="B658" s="408"/>
      <c r="C658" s="409"/>
      <c r="D658" s="410"/>
      <c r="E658" s="276"/>
      <c r="F658" s="411"/>
      <c r="G658" s="408"/>
      <c r="H658" s="52"/>
      <c r="J658" s="54"/>
      <c r="M658" s="412"/>
    </row>
    <row r="659" ht="15.75" customHeight="1">
      <c r="A659" s="408"/>
      <c r="B659" s="408"/>
      <c r="C659" s="409"/>
      <c r="D659" s="410"/>
      <c r="E659" s="276"/>
      <c r="F659" s="411"/>
      <c r="G659" s="408"/>
      <c r="H659" s="52"/>
      <c r="J659" s="54"/>
      <c r="M659" s="412"/>
    </row>
    <row r="660" ht="15.75" customHeight="1">
      <c r="A660" s="408"/>
      <c r="B660" s="408"/>
      <c r="C660" s="409"/>
      <c r="D660" s="410"/>
      <c r="E660" s="276"/>
      <c r="F660" s="411"/>
      <c r="G660" s="408"/>
      <c r="H660" s="52"/>
      <c r="J660" s="54"/>
      <c r="M660" s="412"/>
    </row>
    <row r="661" ht="15.75" customHeight="1">
      <c r="A661" s="408"/>
      <c r="B661" s="408"/>
      <c r="C661" s="409"/>
      <c r="D661" s="410"/>
      <c r="E661" s="276"/>
      <c r="F661" s="411"/>
      <c r="G661" s="408"/>
      <c r="H661" s="52"/>
      <c r="J661" s="54"/>
      <c r="M661" s="412"/>
    </row>
    <row r="662" ht="15.75" customHeight="1">
      <c r="A662" s="408"/>
      <c r="B662" s="408"/>
      <c r="C662" s="409"/>
      <c r="D662" s="410"/>
      <c r="E662" s="276"/>
      <c r="F662" s="411"/>
      <c r="G662" s="408"/>
      <c r="H662" s="52"/>
      <c r="J662" s="54"/>
      <c r="M662" s="412"/>
    </row>
    <row r="663" ht="15.75" customHeight="1">
      <c r="A663" s="408"/>
      <c r="B663" s="408"/>
      <c r="C663" s="409"/>
      <c r="D663" s="410"/>
      <c r="E663" s="276"/>
      <c r="F663" s="411"/>
      <c r="G663" s="408"/>
      <c r="H663" s="52"/>
      <c r="J663" s="54"/>
      <c r="M663" s="412"/>
    </row>
    <row r="664" ht="15.75" customHeight="1">
      <c r="A664" s="408"/>
      <c r="B664" s="408"/>
      <c r="C664" s="409"/>
      <c r="D664" s="410"/>
      <c r="E664" s="276"/>
      <c r="F664" s="411"/>
      <c r="G664" s="408"/>
      <c r="H664" s="52"/>
      <c r="J664" s="54"/>
      <c r="M664" s="412"/>
    </row>
    <row r="665" ht="15.75" customHeight="1">
      <c r="A665" s="408"/>
      <c r="B665" s="408"/>
      <c r="C665" s="409"/>
      <c r="D665" s="410"/>
      <c r="E665" s="276"/>
      <c r="F665" s="411"/>
      <c r="G665" s="408"/>
      <c r="H665" s="52"/>
      <c r="J665" s="54"/>
      <c r="M665" s="412"/>
    </row>
    <row r="666" ht="15.75" customHeight="1">
      <c r="A666" s="408"/>
      <c r="B666" s="408"/>
      <c r="C666" s="409"/>
      <c r="D666" s="410"/>
      <c r="E666" s="276"/>
      <c r="F666" s="411"/>
      <c r="G666" s="408"/>
      <c r="H666" s="52"/>
      <c r="J666" s="54"/>
      <c r="M666" s="412"/>
    </row>
    <row r="667" ht="15.75" customHeight="1">
      <c r="A667" s="408"/>
      <c r="B667" s="408"/>
      <c r="C667" s="409"/>
      <c r="D667" s="410"/>
      <c r="E667" s="276"/>
      <c r="F667" s="411"/>
      <c r="G667" s="408"/>
      <c r="H667" s="52"/>
      <c r="J667" s="54"/>
      <c r="M667" s="412"/>
    </row>
    <row r="668" ht="15.75" customHeight="1">
      <c r="A668" s="408"/>
      <c r="B668" s="408"/>
      <c r="C668" s="409"/>
      <c r="D668" s="410"/>
      <c r="E668" s="276"/>
      <c r="F668" s="411"/>
      <c r="G668" s="408"/>
      <c r="H668" s="52"/>
      <c r="J668" s="54"/>
      <c r="M668" s="412"/>
    </row>
    <row r="669" ht="15.75" customHeight="1">
      <c r="A669" s="408"/>
      <c r="B669" s="408"/>
      <c r="C669" s="409"/>
      <c r="D669" s="410"/>
      <c r="E669" s="276"/>
      <c r="F669" s="411"/>
      <c r="G669" s="408"/>
      <c r="H669" s="52"/>
      <c r="J669" s="54"/>
      <c r="M669" s="412"/>
    </row>
    <row r="670" ht="15.75" customHeight="1">
      <c r="A670" s="408"/>
      <c r="B670" s="408"/>
      <c r="C670" s="409"/>
      <c r="D670" s="410"/>
      <c r="E670" s="276"/>
      <c r="F670" s="411"/>
      <c r="G670" s="408"/>
      <c r="H670" s="52"/>
      <c r="J670" s="54"/>
      <c r="M670" s="412"/>
    </row>
    <row r="671" ht="15.75" customHeight="1">
      <c r="A671" s="408"/>
      <c r="B671" s="408"/>
      <c r="C671" s="409"/>
      <c r="D671" s="410"/>
      <c r="E671" s="276"/>
      <c r="F671" s="411"/>
      <c r="G671" s="408"/>
      <c r="H671" s="52"/>
      <c r="J671" s="54"/>
      <c r="M671" s="412"/>
    </row>
    <row r="672" ht="15.75" customHeight="1">
      <c r="A672" s="408"/>
      <c r="B672" s="408"/>
      <c r="C672" s="409"/>
      <c r="D672" s="410"/>
      <c r="E672" s="276"/>
      <c r="F672" s="411"/>
      <c r="G672" s="408"/>
      <c r="H672" s="52"/>
      <c r="J672" s="54"/>
      <c r="M672" s="412"/>
    </row>
    <row r="673" ht="15.75" customHeight="1">
      <c r="A673" s="408"/>
      <c r="B673" s="408"/>
      <c r="C673" s="409"/>
      <c r="D673" s="410"/>
      <c r="E673" s="276"/>
      <c r="F673" s="411"/>
      <c r="G673" s="408"/>
      <c r="H673" s="52"/>
      <c r="J673" s="54"/>
      <c r="M673" s="412"/>
    </row>
    <row r="674" ht="15.75" customHeight="1">
      <c r="A674" s="408"/>
      <c r="B674" s="408"/>
      <c r="C674" s="409"/>
      <c r="D674" s="410"/>
      <c r="E674" s="276"/>
      <c r="F674" s="411"/>
      <c r="G674" s="408"/>
      <c r="H674" s="52"/>
      <c r="J674" s="54"/>
      <c r="M674" s="412"/>
    </row>
    <row r="675" ht="15.75" customHeight="1">
      <c r="A675" s="408"/>
      <c r="B675" s="408"/>
      <c r="C675" s="409"/>
      <c r="D675" s="410"/>
      <c r="E675" s="276"/>
      <c r="F675" s="411"/>
      <c r="G675" s="408"/>
      <c r="H675" s="52"/>
      <c r="J675" s="54"/>
      <c r="M675" s="412"/>
    </row>
    <row r="676" ht="15.75" customHeight="1">
      <c r="A676" s="408"/>
      <c r="B676" s="408"/>
      <c r="C676" s="409"/>
      <c r="D676" s="410"/>
      <c r="E676" s="276"/>
      <c r="F676" s="411"/>
      <c r="G676" s="408"/>
      <c r="H676" s="52"/>
      <c r="J676" s="54"/>
      <c r="M676" s="412"/>
    </row>
    <row r="677" ht="15.75" customHeight="1">
      <c r="A677" s="408"/>
      <c r="B677" s="408"/>
      <c r="C677" s="409"/>
      <c r="D677" s="410"/>
      <c r="E677" s="276"/>
      <c r="F677" s="411"/>
      <c r="G677" s="408"/>
      <c r="H677" s="52"/>
      <c r="J677" s="54"/>
      <c r="M677" s="412"/>
    </row>
    <row r="678" ht="15.75" customHeight="1">
      <c r="A678" s="408"/>
      <c r="B678" s="408"/>
      <c r="C678" s="409"/>
      <c r="D678" s="410"/>
      <c r="E678" s="276"/>
      <c r="F678" s="411"/>
      <c r="G678" s="408"/>
      <c r="H678" s="52"/>
      <c r="J678" s="54"/>
      <c r="M678" s="412"/>
    </row>
    <row r="679" ht="15.75" customHeight="1">
      <c r="A679" s="408"/>
      <c r="B679" s="408"/>
      <c r="C679" s="409"/>
      <c r="D679" s="410"/>
      <c r="E679" s="276"/>
      <c r="F679" s="411"/>
      <c r="G679" s="408"/>
      <c r="H679" s="52"/>
      <c r="J679" s="54"/>
      <c r="M679" s="412"/>
    </row>
    <row r="680" ht="15.75" customHeight="1">
      <c r="A680" s="408"/>
      <c r="B680" s="408"/>
      <c r="C680" s="409"/>
      <c r="D680" s="410"/>
      <c r="E680" s="276"/>
      <c r="F680" s="411"/>
      <c r="G680" s="408"/>
      <c r="H680" s="52"/>
      <c r="J680" s="54"/>
      <c r="M680" s="412"/>
    </row>
    <row r="681" ht="15.75" customHeight="1">
      <c r="A681" s="408"/>
      <c r="B681" s="408"/>
      <c r="C681" s="409"/>
      <c r="D681" s="410"/>
      <c r="E681" s="276"/>
      <c r="F681" s="411"/>
      <c r="G681" s="408"/>
      <c r="H681" s="52"/>
      <c r="J681" s="54"/>
      <c r="M681" s="412"/>
    </row>
    <row r="682" ht="15.75" customHeight="1">
      <c r="A682" s="408"/>
      <c r="B682" s="408"/>
      <c r="C682" s="409"/>
      <c r="D682" s="410"/>
      <c r="E682" s="276"/>
      <c r="F682" s="411"/>
      <c r="G682" s="408"/>
      <c r="H682" s="52"/>
      <c r="J682" s="54"/>
      <c r="M682" s="412"/>
    </row>
    <row r="683" ht="15.75" customHeight="1">
      <c r="A683" s="408"/>
      <c r="B683" s="408"/>
      <c r="C683" s="409"/>
      <c r="D683" s="410"/>
      <c r="E683" s="276"/>
      <c r="F683" s="411"/>
      <c r="G683" s="408"/>
      <c r="H683" s="52"/>
      <c r="J683" s="54"/>
      <c r="M683" s="412"/>
    </row>
    <row r="684" ht="15.75" customHeight="1">
      <c r="A684" s="408"/>
      <c r="B684" s="408"/>
      <c r="C684" s="409"/>
      <c r="D684" s="410"/>
      <c r="E684" s="276"/>
      <c r="F684" s="411"/>
      <c r="G684" s="408"/>
      <c r="H684" s="52"/>
      <c r="J684" s="54"/>
      <c r="M684" s="412"/>
    </row>
    <row r="685" ht="15.75" customHeight="1">
      <c r="A685" s="408"/>
      <c r="B685" s="408"/>
      <c r="C685" s="409"/>
      <c r="D685" s="410"/>
      <c r="E685" s="276"/>
      <c r="F685" s="411"/>
      <c r="G685" s="408"/>
      <c r="H685" s="52"/>
      <c r="J685" s="54"/>
      <c r="M685" s="412"/>
    </row>
    <row r="686" ht="15.75" customHeight="1">
      <c r="A686" s="408"/>
      <c r="B686" s="408"/>
      <c r="C686" s="409"/>
      <c r="D686" s="410"/>
      <c r="E686" s="276"/>
      <c r="F686" s="411"/>
      <c r="G686" s="408"/>
      <c r="H686" s="52"/>
      <c r="J686" s="54"/>
      <c r="M686" s="412"/>
    </row>
    <row r="687" ht="15.75" customHeight="1">
      <c r="A687" s="408"/>
      <c r="B687" s="408"/>
      <c r="C687" s="409"/>
      <c r="D687" s="410"/>
      <c r="E687" s="276"/>
      <c r="F687" s="411"/>
      <c r="G687" s="408"/>
      <c r="H687" s="52"/>
      <c r="J687" s="54"/>
      <c r="M687" s="412"/>
    </row>
    <row r="688" ht="15.75" customHeight="1">
      <c r="A688" s="408"/>
      <c r="B688" s="408"/>
      <c r="C688" s="409"/>
      <c r="D688" s="410"/>
      <c r="E688" s="276"/>
      <c r="F688" s="411"/>
      <c r="G688" s="408"/>
      <c r="H688" s="52"/>
      <c r="J688" s="54"/>
      <c r="M688" s="412"/>
    </row>
    <row r="689" ht="15.75" customHeight="1">
      <c r="A689" s="408"/>
      <c r="B689" s="408"/>
      <c r="C689" s="409"/>
      <c r="D689" s="410"/>
      <c r="E689" s="276"/>
      <c r="F689" s="411"/>
      <c r="G689" s="408"/>
      <c r="H689" s="52"/>
      <c r="J689" s="54"/>
      <c r="M689" s="412"/>
    </row>
    <row r="690" ht="15.75" customHeight="1">
      <c r="A690" s="408"/>
      <c r="B690" s="408"/>
      <c r="C690" s="409"/>
      <c r="D690" s="410"/>
      <c r="E690" s="276"/>
      <c r="F690" s="411"/>
      <c r="G690" s="408"/>
      <c r="H690" s="52"/>
      <c r="J690" s="54"/>
      <c r="M690" s="412"/>
    </row>
    <row r="691" ht="15.75" customHeight="1">
      <c r="A691" s="408"/>
      <c r="B691" s="408"/>
      <c r="C691" s="409"/>
      <c r="D691" s="410"/>
      <c r="E691" s="276"/>
      <c r="F691" s="411"/>
      <c r="G691" s="408"/>
      <c r="H691" s="52"/>
      <c r="J691" s="54"/>
      <c r="M691" s="412"/>
    </row>
    <row r="692" ht="15.75" customHeight="1">
      <c r="A692" s="408"/>
      <c r="B692" s="408"/>
      <c r="C692" s="409"/>
      <c r="D692" s="410"/>
      <c r="E692" s="276"/>
      <c r="F692" s="411"/>
      <c r="G692" s="408"/>
      <c r="H692" s="52"/>
      <c r="J692" s="54"/>
      <c r="M692" s="412"/>
    </row>
    <row r="693" ht="15.75" customHeight="1">
      <c r="A693" s="408"/>
      <c r="B693" s="408"/>
      <c r="C693" s="409"/>
      <c r="D693" s="410"/>
      <c r="E693" s="276"/>
      <c r="F693" s="411"/>
      <c r="G693" s="408"/>
      <c r="H693" s="52"/>
      <c r="J693" s="54"/>
      <c r="M693" s="412"/>
    </row>
    <row r="694" ht="15.75" customHeight="1">
      <c r="A694" s="408"/>
      <c r="B694" s="408"/>
      <c r="C694" s="409"/>
      <c r="D694" s="410"/>
      <c r="E694" s="276"/>
      <c r="F694" s="411"/>
      <c r="G694" s="408"/>
      <c r="H694" s="52"/>
      <c r="J694" s="54"/>
      <c r="M694" s="412"/>
    </row>
    <row r="695" ht="15.75" customHeight="1">
      <c r="A695" s="408"/>
      <c r="B695" s="408"/>
      <c r="C695" s="409"/>
      <c r="D695" s="410"/>
      <c r="E695" s="276"/>
      <c r="F695" s="411"/>
      <c r="G695" s="408"/>
      <c r="H695" s="52"/>
      <c r="J695" s="54"/>
      <c r="M695" s="412"/>
    </row>
    <row r="696" ht="15.75" customHeight="1">
      <c r="A696" s="408"/>
      <c r="B696" s="408"/>
      <c r="C696" s="409"/>
      <c r="D696" s="410"/>
      <c r="E696" s="276"/>
      <c r="F696" s="411"/>
      <c r="G696" s="408"/>
      <c r="H696" s="52"/>
      <c r="J696" s="54"/>
      <c r="M696" s="412"/>
    </row>
    <row r="697" ht="15.75" customHeight="1">
      <c r="A697" s="408"/>
      <c r="B697" s="408"/>
      <c r="C697" s="409"/>
      <c r="D697" s="410"/>
      <c r="E697" s="276"/>
      <c r="F697" s="411"/>
      <c r="G697" s="408"/>
      <c r="H697" s="52"/>
      <c r="J697" s="54"/>
      <c r="M697" s="412"/>
    </row>
    <row r="698" ht="15.75" customHeight="1">
      <c r="A698" s="408"/>
      <c r="B698" s="408"/>
      <c r="C698" s="409"/>
      <c r="D698" s="410"/>
      <c r="E698" s="276"/>
      <c r="F698" s="411"/>
      <c r="G698" s="408"/>
      <c r="H698" s="52"/>
      <c r="J698" s="54"/>
      <c r="M698" s="412"/>
    </row>
    <row r="699" ht="15.75" customHeight="1">
      <c r="A699" s="408"/>
      <c r="B699" s="408"/>
      <c r="C699" s="409"/>
      <c r="D699" s="410"/>
      <c r="E699" s="276"/>
      <c r="F699" s="411"/>
      <c r="G699" s="408"/>
      <c r="H699" s="52"/>
      <c r="J699" s="54"/>
      <c r="M699" s="412"/>
    </row>
    <row r="700" ht="15.75" customHeight="1">
      <c r="A700" s="408"/>
      <c r="B700" s="408"/>
      <c r="C700" s="409"/>
      <c r="D700" s="410"/>
      <c r="E700" s="276"/>
      <c r="F700" s="411"/>
      <c r="G700" s="408"/>
      <c r="H700" s="52"/>
      <c r="J700" s="54"/>
      <c r="M700" s="412"/>
    </row>
    <row r="701" ht="15.75" customHeight="1">
      <c r="A701" s="408"/>
      <c r="B701" s="408"/>
      <c r="C701" s="409"/>
      <c r="D701" s="410"/>
      <c r="E701" s="276"/>
      <c r="F701" s="411"/>
      <c r="G701" s="408"/>
      <c r="H701" s="52"/>
      <c r="J701" s="54"/>
      <c r="M701" s="412"/>
    </row>
    <row r="702" ht="15.75" customHeight="1">
      <c r="A702" s="408"/>
      <c r="B702" s="408"/>
      <c r="C702" s="409"/>
      <c r="D702" s="410"/>
      <c r="E702" s="276"/>
      <c r="F702" s="411"/>
      <c r="G702" s="408"/>
      <c r="H702" s="52"/>
      <c r="J702" s="54"/>
      <c r="M702" s="412"/>
    </row>
    <row r="703" ht="15.75" customHeight="1">
      <c r="A703" s="408"/>
      <c r="B703" s="408"/>
      <c r="C703" s="409"/>
      <c r="D703" s="410"/>
      <c r="E703" s="276"/>
      <c r="F703" s="411"/>
      <c r="G703" s="408"/>
      <c r="H703" s="52"/>
      <c r="J703" s="54"/>
      <c r="M703" s="412"/>
    </row>
    <row r="704" ht="15.75" customHeight="1">
      <c r="A704" s="408"/>
      <c r="B704" s="408"/>
      <c r="C704" s="409"/>
      <c r="D704" s="410"/>
      <c r="E704" s="276"/>
      <c r="F704" s="411"/>
      <c r="G704" s="408"/>
      <c r="H704" s="52"/>
      <c r="J704" s="54"/>
      <c r="M704" s="412"/>
    </row>
    <row r="705" ht="15.75" customHeight="1">
      <c r="A705" s="408"/>
      <c r="B705" s="408"/>
      <c r="C705" s="409"/>
      <c r="D705" s="410"/>
      <c r="E705" s="276"/>
      <c r="F705" s="411"/>
      <c r="G705" s="408"/>
      <c r="H705" s="52"/>
      <c r="J705" s="54"/>
      <c r="M705" s="412"/>
    </row>
    <row r="706" ht="15.75" customHeight="1">
      <c r="A706" s="408"/>
      <c r="B706" s="408"/>
      <c r="C706" s="409"/>
      <c r="D706" s="410"/>
      <c r="E706" s="276"/>
      <c r="F706" s="411"/>
      <c r="G706" s="408"/>
      <c r="H706" s="52"/>
      <c r="J706" s="54"/>
      <c r="M706" s="412"/>
    </row>
    <row r="707" ht="15.75" customHeight="1">
      <c r="A707" s="408"/>
      <c r="B707" s="408"/>
      <c r="C707" s="409"/>
      <c r="D707" s="410"/>
      <c r="E707" s="276"/>
      <c r="F707" s="411"/>
      <c r="G707" s="408"/>
      <c r="H707" s="52"/>
      <c r="J707" s="54"/>
      <c r="M707" s="412"/>
    </row>
    <row r="708" ht="15.75" customHeight="1">
      <c r="A708" s="408"/>
      <c r="B708" s="408"/>
      <c r="C708" s="409"/>
      <c r="D708" s="410"/>
      <c r="E708" s="276"/>
      <c r="F708" s="411"/>
      <c r="G708" s="408"/>
      <c r="H708" s="52"/>
      <c r="J708" s="54"/>
      <c r="M708" s="412"/>
    </row>
    <row r="709" ht="15.75" customHeight="1">
      <c r="A709" s="408"/>
      <c r="B709" s="408"/>
      <c r="C709" s="409"/>
      <c r="D709" s="410"/>
      <c r="E709" s="276"/>
      <c r="F709" s="411"/>
      <c r="G709" s="408"/>
      <c r="H709" s="52"/>
      <c r="J709" s="54"/>
      <c r="M709" s="412"/>
    </row>
    <row r="710" ht="15.75" customHeight="1">
      <c r="A710" s="408"/>
      <c r="B710" s="408"/>
      <c r="C710" s="409"/>
      <c r="D710" s="410"/>
      <c r="E710" s="276"/>
      <c r="F710" s="411"/>
      <c r="G710" s="408"/>
      <c r="H710" s="52"/>
      <c r="J710" s="54"/>
      <c r="M710" s="412"/>
    </row>
    <row r="711" ht="15.75" customHeight="1">
      <c r="A711" s="408"/>
      <c r="B711" s="408"/>
      <c r="C711" s="409"/>
      <c r="D711" s="410"/>
      <c r="E711" s="276"/>
      <c r="F711" s="411"/>
      <c r="G711" s="408"/>
      <c r="H711" s="52"/>
      <c r="J711" s="54"/>
      <c r="M711" s="412"/>
    </row>
    <row r="712" ht="15.75" customHeight="1">
      <c r="A712" s="408"/>
      <c r="B712" s="408"/>
      <c r="C712" s="409"/>
      <c r="D712" s="410"/>
      <c r="E712" s="276"/>
      <c r="F712" s="411"/>
      <c r="G712" s="408"/>
      <c r="H712" s="52"/>
      <c r="J712" s="54"/>
      <c r="M712" s="412"/>
    </row>
    <row r="713" ht="15.75" customHeight="1">
      <c r="A713" s="408"/>
      <c r="B713" s="408"/>
      <c r="C713" s="409"/>
      <c r="D713" s="410"/>
      <c r="E713" s="276"/>
      <c r="F713" s="411"/>
      <c r="G713" s="408"/>
      <c r="H713" s="52"/>
      <c r="J713" s="54"/>
      <c r="M713" s="412"/>
    </row>
    <row r="714" ht="15.75" customHeight="1">
      <c r="A714" s="408"/>
      <c r="B714" s="408"/>
      <c r="C714" s="409"/>
      <c r="D714" s="410"/>
      <c r="E714" s="276"/>
      <c r="F714" s="411"/>
      <c r="G714" s="408"/>
      <c r="H714" s="52"/>
      <c r="J714" s="54"/>
      <c r="M714" s="412"/>
    </row>
    <row r="715" ht="15.75" customHeight="1">
      <c r="A715" s="408"/>
      <c r="B715" s="408"/>
      <c r="C715" s="409"/>
      <c r="D715" s="410"/>
      <c r="E715" s="276"/>
      <c r="F715" s="411"/>
      <c r="G715" s="408"/>
      <c r="H715" s="52"/>
      <c r="J715" s="54"/>
      <c r="M715" s="412"/>
    </row>
    <row r="716" ht="15.75" customHeight="1">
      <c r="A716" s="408"/>
      <c r="B716" s="408"/>
      <c r="C716" s="409"/>
      <c r="D716" s="410"/>
      <c r="E716" s="276"/>
      <c r="F716" s="411"/>
      <c r="G716" s="408"/>
      <c r="H716" s="52"/>
      <c r="J716" s="54"/>
      <c r="M716" s="412"/>
    </row>
    <row r="717" ht="15.75" customHeight="1">
      <c r="A717" s="408"/>
      <c r="B717" s="408"/>
      <c r="C717" s="409"/>
      <c r="D717" s="410"/>
      <c r="E717" s="276"/>
      <c r="F717" s="411"/>
      <c r="G717" s="408"/>
      <c r="H717" s="52"/>
      <c r="J717" s="54"/>
      <c r="M717" s="412"/>
    </row>
    <row r="718" ht="15.75" customHeight="1">
      <c r="A718" s="408"/>
      <c r="B718" s="408"/>
      <c r="C718" s="409"/>
      <c r="D718" s="410"/>
      <c r="E718" s="276"/>
      <c r="F718" s="411"/>
      <c r="G718" s="408"/>
      <c r="H718" s="52"/>
      <c r="J718" s="54"/>
      <c r="M718" s="412"/>
    </row>
    <row r="719" ht="15.75" customHeight="1">
      <c r="A719" s="408"/>
      <c r="B719" s="408"/>
      <c r="C719" s="409"/>
      <c r="D719" s="410"/>
      <c r="E719" s="276"/>
      <c r="F719" s="411"/>
      <c r="G719" s="408"/>
      <c r="H719" s="52"/>
      <c r="J719" s="54"/>
      <c r="M719" s="412"/>
    </row>
    <row r="720" ht="15.75" customHeight="1">
      <c r="A720" s="408"/>
      <c r="B720" s="408"/>
      <c r="C720" s="409"/>
      <c r="D720" s="410"/>
      <c r="E720" s="276"/>
      <c r="F720" s="411"/>
      <c r="G720" s="408"/>
      <c r="H720" s="52"/>
      <c r="J720" s="54"/>
      <c r="M720" s="412"/>
    </row>
    <row r="721" ht="15.75" customHeight="1">
      <c r="A721" s="408"/>
      <c r="B721" s="408"/>
      <c r="C721" s="409"/>
      <c r="D721" s="410"/>
      <c r="E721" s="276"/>
      <c r="F721" s="411"/>
      <c r="G721" s="408"/>
      <c r="H721" s="52"/>
      <c r="J721" s="54"/>
      <c r="M721" s="412"/>
    </row>
    <row r="722" ht="15.75" customHeight="1">
      <c r="A722" s="408"/>
      <c r="B722" s="408"/>
      <c r="C722" s="409"/>
      <c r="D722" s="410"/>
      <c r="E722" s="276"/>
      <c r="F722" s="411"/>
      <c r="G722" s="408"/>
      <c r="H722" s="52"/>
      <c r="J722" s="54"/>
      <c r="M722" s="412"/>
    </row>
    <row r="723" ht="15.75" customHeight="1">
      <c r="A723" s="408"/>
      <c r="B723" s="408"/>
      <c r="C723" s="409"/>
      <c r="D723" s="410"/>
      <c r="E723" s="276"/>
      <c r="F723" s="411"/>
      <c r="G723" s="408"/>
      <c r="H723" s="52"/>
      <c r="J723" s="54"/>
      <c r="M723" s="412"/>
    </row>
    <row r="724" ht="15.75" customHeight="1">
      <c r="A724" s="408"/>
      <c r="B724" s="408"/>
      <c r="C724" s="409"/>
      <c r="D724" s="410"/>
      <c r="E724" s="276"/>
      <c r="F724" s="411"/>
      <c r="G724" s="408"/>
      <c r="H724" s="52"/>
      <c r="J724" s="54"/>
      <c r="M724" s="412"/>
    </row>
    <row r="725" ht="15.75" customHeight="1">
      <c r="A725" s="408"/>
      <c r="B725" s="408"/>
      <c r="C725" s="409"/>
      <c r="D725" s="410"/>
      <c r="E725" s="276"/>
      <c r="F725" s="411"/>
      <c r="G725" s="408"/>
      <c r="H725" s="52"/>
      <c r="J725" s="54"/>
      <c r="M725" s="412"/>
    </row>
    <row r="726" ht="15.75" customHeight="1">
      <c r="A726" s="408"/>
      <c r="B726" s="408"/>
      <c r="C726" s="409"/>
      <c r="D726" s="410"/>
      <c r="E726" s="276"/>
      <c r="F726" s="411"/>
      <c r="G726" s="408"/>
      <c r="H726" s="52"/>
      <c r="J726" s="54"/>
      <c r="M726" s="412"/>
    </row>
    <row r="727" ht="15.75" customHeight="1">
      <c r="A727" s="408"/>
      <c r="B727" s="408"/>
      <c r="C727" s="409"/>
      <c r="D727" s="410"/>
      <c r="E727" s="276"/>
      <c r="F727" s="411"/>
      <c r="G727" s="408"/>
      <c r="H727" s="52"/>
      <c r="J727" s="54"/>
      <c r="M727" s="412"/>
    </row>
    <row r="728" ht="15.75" customHeight="1">
      <c r="A728" s="408"/>
      <c r="B728" s="408"/>
      <c r="C728" s="409"/>
      <c r="D728" s="410"/>
      <c r="E728" s="276"/>
      <c r="F728" s="411"/>
      <c r="G728" s="408"/>
      <c r="H728" s="52"/>
      <c r="J728" s="54"/>
      <c r="M728" s="412"/>
    </row>
    <row r="729" ht="15.75" customHeight="1">
      <c r="A729" s="408"/>
      <c r="B729" s="408"/>
      <c r="C729" s="409"/>
      <c r="D729" s="410"/>
      <c r="E729" s="276"/>
      <c r="F729" s="411"/>
      <c r="G729" s="408"/>
      <c r="H729" s="52"/>
      <c r="J729" s="54"/>
      <c r="M729" s="412"/>
    </row>
    <row r="730" ht="15.75" customHeight="1">
      <c r="A730" s="408"/>
      <c r="B730" s="408"/>
      <c r="C730" s="409"/>
      <c r="D730" s="410"/>
      <c r="E730" s="276"/>
      <c r="F730" s="411"/>
      <c r="G730" s="408"/>
      <c r="H730" s="52"/>
      <c r="J730" s="54"/>
      <c r="M730" s="412"/>
    </row>
    <row r="731" ht="15.75" customHeight="1">
      <c r="A731" s="408"/>
      <c r="B731" s="408"/>
      <c r="C731" s="409"/>
      <c r="D731" s="410"/>
      <c r="E731" s="276"/>
      <c r="F731" s="411"/>
      <c r="G731" s="408"/>
      <c r="H731" s="52"/>
      <c r="J731" s="54"/>
      <c r="M731" s="412"/>
    </row>
    <row r="732" ht="15.75" customHeight="1">
      <c r="A732" s="408"/>
      <c r="B732" s="408"/>
      <c r="C732" s="409"/>
      <c r="D732" s="410"/>
      <c r="E732" s="276"/>
      <c r="F732" s="411"/>
      <c r="G732" s="408"/>
      <c r="H732" s="52"/>
      <c r="J732" s="54"/>
      <c r="M732" s="412"/>
    </row>
    <row r="733" ht="15.75" customHeight="1">
      <c r="A733" s="408"/>
      <c r="B733" s="408"/>
      <c r="C733" s="409"/>
      <c r="D733" s="410"/>
      <c r="E733" s="276"/>
      <c r="F733" s="411"/>
      <c r="G733" s="408"/>
      <c r="H733" s="52"/>
      <c r="J733" s="54"/>
      <c r="M733" s="412"/>
    </row>
    <row r="734" ht="15.75" customHeight="1">
      <c r="A734" s="408"/>
      <c r="B734" s="408"/>
      <c r="C734" s="409"/>
      <c r="D734" s="410"/>
      <c r="E734" s="276"/>
      <c r="F734" s="411"/>
      <c r="G734" s="408"/>
      <c r="H734" s="52"/>
      <c r="J734" s="54"/>
      <c r="M734" s="412"/>
    </row>
    <row r="735" ht="15.75" customHeight="1">
      <c r="A735" s="408"/>
      <c r="B735" s="408"/>
      <c r="C735" s="409"/>
      <c r="D735" s="410"/>
      <c r="E735" s="276"/>
      <c r="F735" s="411"/>
      <c r="G735" s="408"/>
      <c r="H735" s="52"/>
      <c r="J735" s="54"/>
      <c r="M735" s="412"/>
    </row>
    <row r="736" ht="15.75" customHeight="1">
      <c r="A736" s="408"/>
      <c r="B736" s="408"/>
      <c r="C736" s="409"/>
      <c r="D736" s="410"/>
      <c r="E736" s="276"/>
      <c r="F736" s="411"/>
      <c r="G736" s="408"/>
      <c r="H736" s="52"/>
      <c r="J736" s="54"/>
      <c r="M736" s="412"/>
    </row>
    <row r="737" ht="15.75" customHeight="1">
      <c r="A737" s="408"/>
      <c r="B737" s="408"/>
      <c r="C737" s="409"/>
      <c r="D737" s="410"/>
      <c r="E737" s="276"/>
      <c r="F737" s="411"/>
      <c r="G737" s="408"/>
      <c r="H737" s="52"/>
      <c r="J737" s="54"/>
      <c r="M737" s="412"/>
    </row>
    <row r="738" ht="15.75" customHeight="1">
      <c r="A738" s="408"/>
      <c r="B738" s="408"/>
      <c r="C738" s="409"/>
      <c r="D738" s="410"/>
      <c r="E738" s="276"/>
      <c r="F738" s="411"/>
      <c r="G738" s="408"/>
      <c r="H738" s="52"/>
      <c r="J738" s="54"/>
      <c r="M738" s="412"/>
    </row>
    <row r="739" ht="15.75" customHeight="1">
      <c r="A739" s="408"/>
      <c r="B739" s="408"/>
      <c r="C739" s="409"/>
      <c r="D739" s="410"/>
      <c r="E739" s="276"/>
      <c r="F739" s="411"/>
      <c r="G739" s="408"/>
      <c r="H739" s="52"/>
      <c r="J739" s="54"/>
      <c r="M739" s="412"/>
    </row>
    <row r="740" ht="15.75" customHeight="1">
      <c r="A740" s="408"/>
      <c r="B740" s="408"/>
      <c r="C740" s="409"/>
      <c r="D740" s="410"/>
      <c r="E740" s="276"/>
      <c r="F740" s="411"/>
      <c r="G740" s="408"/>
      <c r="H740" s="52"/>
      <c r="J740" s="54"/>
      <c r="M740" s="412"/>
    </row>
    <row r="741" ht="15.75" customHeight="1">
      <c r="A741" s="408"/>
      <c r="B741" s="408"/>
      <c r="C741" s="409"/>
      <c r="D741" s="410"/>
      <c r="E741" s="276"/>
      <c r="F741" s="411"/>
      <c r="G741" s="408"/>
      <c r="H741" s="52"/>
      <c r="J741" s="54"/>
      <c r="M741" s="412"/>
    </row>
    <row r="742" ht="15.75" customHeight="1">
      <c r="A742" s="408"/>
      <c r="B742" s="408"/>
      <c r="C742" s="409"/>
      <c r="D742" s="410"/>
      <c r="E742" s="276"/>
      <c r="F742" s="411"/>
      <c r="G742" s="408"/>
      <c r="H742" s="52"/>
      <c r="J742" s="54"/>
      <c r="M742" s="412"/>
    </row>
    <row r="743" ht="15.75" customHeight="1">
      <c r="A743" s="408"/>
      <c r="B743" s="408"/>
      <c r="C743" s="409"/>
      <c r="D743" s="410"/>
      <c r="E743" s="276"/>
      <c r="F743" s="411"/>
      <c r="G743" s="408"/>
      <c r="H743" s="52"/>
      <c r="J743" s="54"/>
      <c r="M743" s="412"/>
    </row>
    <row r="744" ht="15.75" customHeight="1">
      <c r="A744" s="408"/>
      <c r="B744" s="408"/>
      <c r="C744" s="409"/>
      <c r="D744" s="410"/>
      <c r="E744" s="276"/>
      <c r="F744" s="411"/>
      <c r="G744" s="408"/>
      <c r="H744" s="52"/>
      <c r="J744" s="54"/>
      <c r="M744" s="412"/>
    </row>
    <row r="745" ht="15.75" customHeight="1">
      <c r="A745" s="408"/>
      <c r="B745" s="408"/>
      <c r="C745" s="409"/>
      <c r="D745" s="410"/>
      <c r="E745" s="276"/>
      <c r="F745" s="411"/>
      <c r="G745" s="408"/>
      <c r="H745" s="52"/>
      <c r="J745" s="54"/>
      <c r="M745" s="412"/>
    </row>
    <row r="746" ht="15.75" customHeight="1">
      <c r="A746" s="408"/>
      <c r="B746" s="408"/>
      <c r="C746" s="409"/>
      <c r="D746" s="410"/>
      <c r="E746" s="276"/>
      <c r="F746" s="411"/>
      <c r="G746" s="408"/>
      <c r="H746" s="52"/>
      <c r="J746" s="54"/>
      <c r="M746" s="412"/>
    </row>
    <row r="747" ht="15.75" customHeight="1">
      <c r="A747" s="408"/>
      <c r="B747" s="408"/>
      <c r="C747" s="409"/>
      <c r="D747" s="410"/>
      <c r="E747" s="276"/>
      <c r="F747" s="411"/>
      <c r="G747" s="408"/>
      <c r="H747" s="52"/>
      <c r="J747" s="54"/>
      <c r="M747" s="412"/>
    </row>
    <row r="748" ht="15.75" customHeight="1">
      <c r="A748" s="408"/>
      <c r="B748" s="408"/>
      <c r="C748" s="409"/>
      <c r="D748" s="410"/>
      <c r="E748" s="276"/>
      <c r="F748" s="411"/>
      <c r="G748" s="408"/>
      <c r="H748" s="52"/>
      <c r="J748" s="54"/>
      <c r="M748" s="412"/>
    </row>
    <row r="749" ht="15.75" customHeight="1">
      <c r="A749" s="408"/>
      <c r="B749" s="408"/>
      <c r="C749" s="409"/>
      <c r="D749" s="410"/>
      <c r="E749" s="276"/>
      <c r="F749" s="411"/>
      <c r="G749" s="408"/>
      <c r="H749" s="52"/>
      <c r="J749" s="54"/>
      <c r="M749" s="412"/>
    </row>
    <row r="750" ht="15.75" customHeight="1">
      <c r="A750" s="408"/>
      <c r="B750" s="408"/>
      <c r="C750" s="409"/>
      <c r="D750" s="410"/>
      <c r="E750" s="276"/>
      <c r="F750" s="411"/>
      <c r="G750" s="408"/>
      <c r="H750" s="52"/>
      <c r="J750" s="54"/>
      <c r="M750" s="412"/>
    </row>
    <row r="751" ht="15.75" customHeight="1">
      <c r="A751" s="408"/>
      <c r="B751" s="408"/>
      <c r="C751" s="409"/>
      <c r="D751" s="410"/>
      <c r="E751" s="276"/>
      <c r="F751" s="411"/>
      <c r="G751" s="408"/>
      <c r="H751" s="52"/>
      <c r="J751" s="54"/>
      <c r="M751" s="412"/>
    </row>
    <row r="752" ht="15.75" customHeight="1">
      <c r="A752" s="408"/>
      <c r="B752" s="408"/>
      <c r="C752" s="409"/>
      <c r="D752" s="410"/>
      <c r="E752" s="276"/>
      <c r="F752" s="411"/>
      <c r="G752" s="408"/>
      <c r="H752" s="52"/>
      <c r="J752" s="54"/>
      <c r="M752" s="412"/>
    </row>
    <row r="753" ht="15.75" customHeight="1">
      <c r="A753" s="408"/>
      <c r="B753" s="408"/>
      <c r="C753" s="409"/>
      <c r="D753" s="410"/>
      <c r="E753" s="276"/>
      <c r="F753" s="411"/>
      <c r="G753" s="408"/>
      <c r="H753" s="52"/>
      <c r="J753" s="54"/>
      <c r="M753" s="412"/>
    </row>
    <row r="754" ht="15.75" customHeight="1">
      <c r="A754" s="408"/>
      <c r="B754" s="408"/>
      <c r="C754" s="409"/>
      <c r="D754" s="410"/>
      <c r="E754" s="276"/>
      <c r="F754" s="411"/>
      <c r="G754" s="408"/>
      <c r="H754" s="52"/>
      <c r="J754" s="54"/>
      <c r="M754" s="412"/>
    </row>
    <row r="755" ht="15.75" customHeight="1">
      <c r="A755" s="408"/>
      <c r="B755" s="408"/>
      <c r="C755" s="409"/>
      <c r="D755" s="410"/>
      <c r="E755" s="276"/>
      <c r="F755" s="411"/>
      <c r="G755" s="408"/>
      <c r="H755" s="52"/>
      <c r="J755" s="54"/>
      <c r="M755" s="412"/>
    </row>
    <row r="756" ht="15.75" customHeight="1">
      <c r="A756" s="408"/>
      <c r="B756" s="408"/>
      <c r="C756" s="409"/>
      <c r="D756" s="410"/>
      <c r="E756" s="276"/>
      <c r="F756" s="411"/>
      <c r="G756" s="408"/>
      <c r="H756" s="52"/>
      <c r="J756" s="54"/>
      <c r="M756" s="412"/>
    </row>
    <row r="757" ht="15.75" customHeight="1">
      <c r="A757" s="408"/>
      <c r="B757" s="408"/>
      <c r="C757" s="409"/>
      <c r="D757" s="410"/>
      <c r="E757" s="276"/>
      <c r="F757" s="411"/>
      <c r="G757" s="408"/>
      <c r="H757" s="52"/>
      <c r="J757" s="54"/>
      <c r="M757" s="412"/>
    </row>
    <row r="758" ht="15.75" customHeight="1">
      <c r="A758" s="408"/>
      <c r="B758" s="408"/>
      <c r="C758" s="409"/>
      <c r="D758" s="410"/>
      <c r="E758" s="276"/>
      <c r="F758" s="411"/>
      <c r="G758" s="408"/>
      <c r="H758" s="52"/>
      <c r="J758" s="54"/>
      <c r="M758" s="412"/>
    </row>
    <row r="759" ht="15.75" customHeight="1">
      <c r="A759" s="408"/>
      <c r="B759" s="408"/>
      <c r="C759" s="409"/>
      <c r="D759" s="410"/>
      <c r="E759" s="276"/>
      <c r="F759" s="411"/>
      <c r="G759" s="408"/>
      <c r="H759" s="52"/>
      <c r="J759" s="54"/>
      <c r="M759" s="412"/>
    </row>
    <row r="760" ht="15.75" customHeight="1">
      <c r="A760" s="408"/>
      <c r="B760" s="408"/>
      <c r="C760" s="409"/>
      <c r="D760" s="410"/>
      <c r="E760" s="276"/>
      <c r="F760" s="411"/>
      <c r="G760" s="408"/>
      <c r="H760" s="52"/>
      <c r="J760" s="54"/>
      <c r="M760" s="412"/>
    </row>
    <row r="761" ht="15.75" customHeight="1">
      <c r="A761" s="408"/>
      <c r="B761" s="408"/>
      <c r="C761" s="409"/>
      <c r="D761" s="410"/>
      <c r="E761" s="276"/>
      <c r="F761" s="411"/>
      <c r="G761" s="408"/>
      <c r="H761" s="52"/>
      <c r="J761" s="54"/>
      <c r="M761" s="412"/>
    </row>
    <row r="762" ht="15.75" customHeight="1">
      <c r="A762" s="408"/>
      <c r="B762" s="408"/>
      <c r="C762" s="409"/>
      <c r="D762" s="410"/>
      <c r="E762" s="276"/>
      <c r="F762" s="411"/>
      <c r="G762" s="408"/>
      <c r="H762" s="52"/>
      <c r="J762" s="54"/>
      <c r="M762" s="412"/>
    </row>
    <row r="763" ht="15.75" customHeight="1">
      <c r="A763" s="408"/>
      <c r="B763" s="408"/>
      <c r="C763" s="409"/>
      <c r="D763" s="410"/>
      <c r="E763" s="276"/>
      <c r="F763" s="411"/>
      <c r="G763" s="408"/>
      <c r="H763" s="52"/>
      <c r="J763" s="54"/>
      <c r="M763" s="412"/>
    </row>
    <row r="764" ht="15.75" customHeight="1">
      <c r="A764" s="408"/>
      <c r="B764" s="408"/>
      <c r="C764" s="409"/>
      <c r="D764" s="410"/>
      <c r="E764" s="276"/>
      <c r="F764" s="411"/>
      <c r="G764" s="408"/>
      <c r="H764" s="52"/>
      <c r="J764" s="54"/>
      <c r="M764" s="412"/>
    </row>
    <row r="765" ht="15.75" customHeight="1">
      <c r="A765" s="408"/>
      <c r="B765" s="408"/>
      <c r="C765" s="409"/>
      <c r="D765" s="410"/>
      <c r="E765" s="276"/>
      <c r="F765" s="411"/>
      <c r="G765" s="408"/>
      <c r="H765" s="52"/>
      <c r="J765" s="54"/>
      <c r="M765" s="412"/>
    </row>
    <row r="766" ht="15.75" customHeight="1">
      <c r="A766" s="408"/>
      <c r="B766" s="408"/>
      <c r="C766" s="409"/>
      <c r="D766" s="410"/>
      <c r="E766" s="276"/>
      <c r="F766" s="411"/>
      <c r="G766" s="408"/>
      <c r="H766" s="52"/>
      <c r="J766" s="54"/>
      <c r="M766" s="412"/>
    </row>
    <row r="767" ht="15.75" customHeight="1">
      <c r="A767" s="408"/>
      <c r="B767" s="408"/>
      <c r="C767" s="409"/>
      <c r="D767" s="410"/>
      <c r="E767" s="276"/>
      <c r="F767" s="411"/>
      <c r="G767" s="408"/>
      <c r="H767" s="52"/>
      <c r="J767" s="54"/>
      <c r="M767" s="412"/>
    </row>
    <row r="768" ht="15.75" customHeight="1">
      <c r="A768" s="408"/>
      <c r="B768" s="408"/>
      <c r="C768" s="409"/>
      <c r="D768" s="410"/>
      <c r="E768" s="276"/>
      <c r="F768" s="411"/>
      <c r="G768" s="408"/>
      <c r="H768" s="52"/>
      <c r="J768" s="54"/>
      <c r="M768" s="412"/>
    </row>
    <row r="769" ht="15.75" customHeight="1">
      <c r="A769" s="408"/>
      <c r="B769" s="408"/>
      <c r="C769" s="409"/>
      <c r="D769" s="410"/>
      <c r="E769" s="276"/>
      <c r="F769" s="411"/>
      <c r="G769" s="408"/>
      <c r="H769" s="52"/>
      <c r="J769" s="54"/>
      <c r="M769" s="412"/>
    </row>
    <row r="770" ht="15.75" customHeight="1">
      <c r="A770" s="408"/>
      <c r="B770" s="408"/>
      <c r="C770" s="409"/>
      <c r="D770" s="410"/>
      <c r="E770" s="276"/>
      <c r="F770" s="411"/>
      <c r="G770" s="408"/>
      <c r="H770" s="52"/>
      <c r="J770" s="54"/>
      <c r="M770" s="412"/>
    </row>
    <row r="771" ht="15.75" customHeight="1">
      <c r="A771" s="408"/>
      <c r="B771" s="408"/>
      <c r="C771" s="409"/>
      <c r="D771" s="410"/>
      <c r="E771" s="276"/>
      <c r="F771" s="411"/>
      <c r="G771" s="408"/>
      <c r="H771" s="52"/>
      <c r="J771" s="54"/>
      <c r="M771" s="412"/>
    </row>
    <row r="772" ht="15.75" customHeight="1">
      <c r="A772" s="408"/>
      <c r="B772" s="408"/>
      <c r="C772" s="409"/>
      <c r="D772" s="410"/>
      <c r="E772" s="276"/>
      <c r="F772" s="411"/>
      <c r="G772" s="408"/>
      <c r="H772" s="52"/>
      <c r="J772" s="54"/>
      <c r="M772" s="412"/>
    </row>
    <row r="773" ht="15.75" customHeight="1">
      <c r="A773" s="408"/>
      <c r="B773" s="408"/>
      <c r="C773" s="409"/>
      <c r="D773" s="410"/>
      <c r="E773" s="276"/>
      <c r="F773" s="411"/>
      <c r="G773" s="408"/>
      <c r="H773" s="52"/>
      <c r="J773" s="54"/>
      <c r="M773" s="412"/>
    </row>
    <row r="774" ht="15.75" customHeight="1">
      <c r="A774" s="408"/>
      <c r="B774" s="408"/>
      <c r="C774" s="409"/>
      <c r="D774" s="410"/>
      <c r="E774" s="276"/>
      <c r="F774" s="411"/>
      <c r="G774" s="408"/>
      <c r="H774" s="52"/>
      <c r="J774" s="54"/>
      <c r="M774" s="412"/>
    </row>
    <row r="775" ht="15.75" customHeight="1">
      <c r="A775" s="408"/>
      <c r="B775" s="408"/>
      <c r="C775" s="409"/>
      <c r="D775" s="410"/>
      <c r="E775" s="276"/>
      <c r="F775" s="411"/>
      <c r="G775" s="408"/>
      <c r="H775" s="52"/>
      <c r="J775" s="54"/>
      <c r="M775" s="412"/>
    </row>
    <row r="776" ht="15.75" customHeight="1">
      <c r="A776" s="408"/>
      <c r="B776" s="408"/>
      <c r="C776" s="409"/>
      <c r="D776" s="410"/>
      <c r="E776" s="276"/>
      <c r="F776" s="411"/>
      <c r="G776" s="408"/>
      <c r="H776" s="52"/>
      <c r="J776" s="54"/>
      <c r="M776" s="412"/>
    </row>
    <row r="777" ht="15.75" customHeight="1">
      <c r="A777" s="408"/>
      <c r="B777" s="408"/>
      <c r="C777" s="409"/>
      <c r="D777" s="410"/>
      <c r="E777" s="276"/>
      <c r="F777" s="411"/>
      <c r="G777" s="408"/>
      <c r="H777" s="52"/>
      <c r="J777" s="54"/>
      <c r="M777" s="412"/>
    </row>
    <row r="778" ht="15.75" customHeight="1">
      <c r="A778" s="408"/>
      <c r="B778" s="408"/>
      <c r="C778" s="409"/>
      <c r="D778" s="410"/>
      <c r="E778" s="276"/>
      <c r="F778" s="411"/>
      <c r="G778" s="408"/>
      <c r="H778" s="52"/>
      <c r="J778" s="54"/>
      <c r="M778" s="412"/>
    </row>
    <row r="779" ht="15.75" customHeight="1">
      <c r="A779" s="408"/>
      <c r="B779" s="408"/>
      <c r="C779" s="409"/>
      <c r="D779" s="410"/>
      <c r="E779" s="276"/>
      <c r="F779" s="411"/>
      <c r="G779" s="408"/>
      <c r="H779" s="52"/>
      <c r="J779" s="54"/>
      <c r="M779" s="412"/>
    </row>
    <row r="780" ht="15.75" customHeight="1">
      <c r="A780" s="408"/>
      <c r="B780" s="408"/>
      <c r="C780" s="409"/>
      <c r="D780" s="410"/>
      <c r="E780" s="276"/>
      <c r="F780" s="411"/>
      <c r="G780" s="408"/>
      <c r="H780" s="52"/>
      <c r="J780" s="54"/>
      <c r="M780" s="412"/>
    </row>
    <row r="781" ht="15.75" customHeight="1">
      <c r="A781" s="408"/>
      <c r="B781" s="408"/>
      <c r="C781" s="409"/>
      <c r="D781" s="410"/>
      <c r="E781" s="276"/>
      <c r="F781" s="411"/>
      <c r="G781" s="408"/>
      <c r="H781" s="52"/>
      <c r="J781" s="54"/>
      <c r="M781" s="412"/>
    </row>
    <row r="782" ht="15.75" customHeight="1">
      <c r="A782" s="408"/>
      <c r="B782" s="408"/>
      <c r="C782" s="409"/>
      <c r="D782" s="410"/>
      <c r="E782" s="276"/>
      <c r="F782" s="411"/>
      <c r="G782" s="408"/>
      <c r="H782" s="52"/>
      <c r="J782" s="54"/>
      <c r="M782" s="412"/>
    </row>
    <row r="783" ht="15.75" customHeight="1">
      <c r="A783" s="408"/>
      <c r="B783" s="408"/>
      <c r="C783" s="409"/>
      <c r="D783" s="410"/>
      <c r="E783" s="276"/>
      <c r="F783" s="411"/>
      <c r="G783" s="408"/>
      <c r="H783" s="52"/>
      <c r="J783" s="54"/>
      <c r="M783" s="412"/>
    </row>
    <row r="784" ht="15.75" customHeight="1">
      <c r="A784" s="408"/>
      <c r="B784" s="408"/>
      <c r="C784" s="409"/>
      <c r="D784" s="410"/>
      <c r="E784" s="276"/>
      <c r="F784" s="411"/>
      <c r="G784" s="408"/>
      <c r="H784" s="52"/>
      <c r="J784" s="54"/>
      <c r="M784" s="412"/>
    </row>
    <row r="785" ht="15.75" customHeight="1">
      <c r="A785" s="408"/>
      <c r="B785" s="408"/>
      <c r="C785" s="409"/>
      <c r="D785" s="410"/>
      <c r="E785" s="276"/>
      <c r="F785" s="411"/>
      <c r="G785" s="408"/>
      <c r="H785" s="52"/>
      <c r="J785" s="54"/>
      <c r="M785" s="412"/>
    </row>
    <row r="786" ht="15.75" customHeight="1">
      <c r="A786" s="408"/>
      <c r="B786" s="408"/>
      <c r="C786" s="409"/>
      <c r="D786" s="410"/>
      <c r="E786" s="276"/>
      <c r="F786" s="411"/>
      <c r="G786" s="408"/>
      <c r="H786" s="52"/>
      <c r="J786" s="54"/>
      <c r="M786" s="412"/>
    </row>
    <row r="787" ht="15.75" customHeight="1">
      <c r="A787" s="408"/>
      <c r="B787" s="408"/>
      <c r="C787" s="409"/>
      <c r="D787" s="410"/>
      <c r="E787" s="276"/>
      <c r="F787" s="411"/>
      <c r="G787" s="408"/>
      <c r="H787" s="52"/>
      <c r="J787" s="54"/>
      <c r="M787" s="412"/>
    </row>
    <row r="788" ht="15.75" customHeight="1">
      <c r="A788" s="408"/>
      <c r="B788" s="408"/>
      <c r="C788" s="409"/>
      <c r="D788" s="410"/>
      <c r="E788" s="276"/>
      <c r="F788" s="411"/>
      <c r="G788" s="408"/>
      <c r="H788" s="52"/>
      <c r="J788" s="54"/>
      <c r="M788" s="412"/>
    </row>
    <row r="789" ht="15.75" customHeight="1">
      <c r="A789" s="408"/>
      <c r="B789" s="408"/>
      <c r="C789" s="409"/>
      <c r="D789" s="410"/>
      <c r="E789" s="276"/>
      <c r="F789" s="411"/>
      <c r="G789" s="408"/>
      <c r="H789" s="52"/>
      <c r="J789" s="54"/>
      <c r="M789" s="412"/>
    </row>
    <row r="790" ht="15.75" customHeight="1">
      <c r="A790" s="408"/>
      <c r="B790" s="408"/>
      <c r="C790" s="409"/>
      <c r="D790" s="410"/>
      <c r="E790" s="276"/>
      <c r="F790" s="411"/>
      <c r="G790" s="408"/>
      <c r="H790" s="52"/>
      <c r="J790" s="54"/>
      <c r="M790" s="412"/>
    </row>
    <row r="791" ht="15.75" customHeight="1">
      <c r="A791" s="408"/>
      <c r="B791" s="408"/>
      <c r="C791" s="409"/>
      <c r="D791" s="410"/>
      <c r="E791" s="276"/>
      <c r="F791" s="411"/>
      <c r="G791" s="408"/>
      <c r="H791" s="52"/>
      <c r="J791" s="54"/>
      <c r="M791" s="412"/>
    </row>
    <row r="792" ht="15.75" customHeight="1">
      <c r="A792" s="408"/>
      <c r="B792" s="408"/>
      <c r="C792" s="409"/>
      <c r="D792" s="410"/>
      <c r="E792" s="276"/>
      <c r="F792" s="411"/>
      <c r="G792" s="408"/>
      <c r="H792" s="52"/>
      <c r="J792" s="54"/>
      <c r="M792" s="412"/>
    </row>
    <row r="793" ht="15.75" customHeight="1">
      <c r="A793" s="408"/>
      <c r="B793" s="408"/>
      <c r="C793" s="409"/>
      <c r="D793" s="410"/>
      <c r="E793" s="276"/>
      <c r="F793" s="411"/>
      <c r="G793" s="408"/>
      <c r="H793" s="52"/>
      <c r="J793" s="54"/>
      <c r="M793" s="412"/>
    </row>
    <row r="794" ht="15.75" customHeight="1">
      <c r="A794" s="408"/>
      <c r="B794" s="408"/>
      <c r="C794" s="409"/>
      <c r="D794" s="410"/>
      <c r="E794" s="276"/>
      <c r="F794" s="411"/>
      <c r="G794" s="408"/>
      <c r="H794" s="52"/>
      <c r="J794" s="54"/>
      <c r="M794" s="412"/>
    </row>
    <row r="795" ht="15.75" customHeight="1">
      <c r="A795" s="408"/>
      <c r="B795" s="408"/>
      <c r="C795" s="409"/>
      <c r="D795" s="410"/>
      <c r="E795" s="276"/>
      <c r="F795" s="411"/>
      <c r="G795" s="408"/>
      <c r="H795" s="52"/>
      <c r="J795" s="54"/>
      <c r="M795" s="412"/>
    </row>
    <row r="796" ht="15.75" customHeight="1">
      <c r="A796" s="408"/>
      <c r="B796" s="408"/>
      <c r="C796" s="409"/>
      <c r="D796" s="410"/>
      <c r="E796" s="276"/>
      <c r="F796" s="411"/>
      <c r="G796" s="408"/>
      <c r="H796" s="52"/>
      <c r="J796" s="54"/>
      <c r="M796" s="412"/>
    </row>
    <row r="797" ht="15.75" customHeight="1">
      <c r="A797" s="408"/>
      <c r="B797" s="408"/>
      <c r="C797" s="409"/>
      <c r="D797" s="410"/>
      <c r="E797" s="276"/>
      <c r="F797" s="411"/>
      <c r="G797" s="408"/>
      <c r="H797" s="52"/>
      <c r="J797" s="54"/>
      <c r="M797" s="412"/>
    </row>
    <row r="798" ht="15.75" customHeight="1">
      <c r="A798" s="408"/>
      <c r="B798" s="408"/>
      <c r="C798" s="409"/>
      <c r="D798" s="410"/>
      <c r="E798" s="276"/>
      <c r="F798" s="411"/>
      <c r="G798" s="408"/>
      <c r="H798" s="52"/>
      <c r="J798" s="54"/>
      <c r="M798" s="412"/>
    </row>
    <row r="799" ht="15.75" customHeight="1">
      <c r="A799" s="408"/>
      <c r="B799" s="408"/>
      <c r="C799" s="409"/>
      <c r="D799" s="410"/>
      <c r="E799" s="276"/>
      <c r="F799" s="411"/>
      <c r="G799" s="408"/>
      <c r="H799" s="52"/>
      <c r="J799" s="54"/>
      <c r="M799" s="412"/>
    </row>
    <row r="800" ht="15.75" customHeight="1">
      <c r="A800" s="408"/>
      <c r="B800" s="408"/>
      <c r="C800" s="409"/>
      <c r="D800" s="410"/>
      <c r="E800" s="276"/>
      <c r="F800" s="411"/>
      <c r="G800" s="408"/>
      <c r="H800" s="52"/>
      <c r="J800" s="54"/>
      <c r="M800" s="412"/>
    </row>
    <row r="801" ht="15.75" customHeight="1">
      <c r="A801" s="408"/>
      <c r="B801" s="408"/>
      <c r="C801" s="409"/>
      <c r="D801" s="410"/>
      <c r="E801" s="276"/>
      <c r="F801" s="411"/>
      <c r="G801" s="408"/>
      <c r="H801" s="52"/>
      <c r="J801" s="54"/>
      <c r="M801" s="412"/>
    </row>
    <row r="802" ht="15.75" customHeight="1">
      <c r="A802" s="408"/>
      <c r="B802" s="408"/>
      <c r="C802" s="409"/>
      <c r="D802" s="410"/>
      <c r="E802" s="276"/>
      <c r="F802" s="411"/>
      <c r="G802" s="408"/>
      <c r="H802" s="52"/>
      <c r="J802" s="54"/>
      <c r="M802" s="412"/>
    </row>
    <row r="803" ht="15.75" customHeight="1">
      <c r="A803" s="408"/>
      <c r="B803" s="408"/>
      <c r="C803" s="409"/>
      <c r="D803" s="410"/>
      <c r="E803" s="276"/>
      <c r="F803" s="411"/>
      <c r="G803" s="408"/>
      <c r="H803" s="52"/>
      <c r="J803" s="54"/>
      <c r="M803" s="412"/>
    </row>
    <row r="804" ht="15.75" customHeight="1">
      <c r="A804" s="408"/>
      <c r="B804" s="408"/>
      <c r="C804" s="409"/>
      <c r="D804" s="410"/>
      <c r="E804" s="276"/>
      <c r="F804" s="411"/>
      <c r="G804" s="408"/>
      <c r="H804" s="52"/>
      <c r="J804" s="54"/>
      <c r="M804" s="412"/>
    </row>
    <row r="805" ht="15.75" customHeight="1">
      <c r="A805" s="408"/>
      <c r="B805" s="408"/>
      <c r="C805" s="409"/>
      <c r="D805" s="410"/>
      <c r="E805" s="276"/>
      <c r="F805" s="411"/>
      <c r="G805" s="408"/>
      <c r="H805" s="52"/>
      <c r="J805" s="54"/>
      <c r="M805" s="412"/>
    </row>
    <row r="806" ht="15.75" customHeight="1">
      <c r="A806" s="408"/>
      <c r="B806" s="408"/>
      <c r="C806" s="409"/>
      <c r="D806" s="410"/>
      <c r="E806" s="276"/>
      <c r="F806" s="411"/>
      <c r="G806" s="408"/>
      <c r="H806" s="52"/>
      <c r="J806" s="54"/>
      <c r="M806" s="412"/>
    </row>
    <row r="807" ht="15.75" customHeight="1">
      <c r="A807" s="408"/>
      <c r="B807" s="408"/>
      <c r="C807" s="409"/>
      <c r="D807" s="410"/>
      <c r="E807" s="276"/>
      <c r="F807" s="411"/>
      <c r="G807" s="408"/>
      <c r="H807" s="52"/>
      <c r="J807" s="54"/>
      <c r="M807" s="412"/>
    </row>
    <row r="808" ht="15.75" customHeight="1">
      <c r="A808" s="408"/>
      <c r="B808" s="408"/>
      <c r="C808" s="409"/>
      <c r="D808" s="410"/>
      <c r="E808" s="276"/>
      <c r="F808" s="411"/>
      <c r="G808" s="408"/>
      <c r="H808" s="52"/>
      <c r="J808" s="54"/>
      <c r="M808" s="412"/>
    </row>
    <row r="809" ht="15.75" customHeight="1">
      <c r="A809" s="408"/>
      <c r="B809" s="408"/>
      <c r="C809" s="409"/>
      <c r="D809" s="410"/>
      <c r="E809" s="276"/>
      <c r="F809" s="411"/>
      <c r="G809" s="408"/>
      <c r="H809" s="52"/>
      <c r="J809" s="54"/>
      <c r="M809" s="412"/>
    </row>
    <row r="810" ht="15.75" customHeight="1">
      <c r="A810" s="408"/>
      <c r="B810" s="408"/>
      <c r="C810" s="409"/>
      <c r="D810" s="410"/>
      <c r="E810" s="276"/>
      <c r="F810" s="411"/>
      <c r="G810" s="408"/>
      <c r="H810" s="52"/>
      <c r="J810" s="54"/>
      <c r="M810" s="412"/>
    </row>
    <row r="811" ht="15.75" customHeight="1">
      <c r="A811" s="408"/>
      <c r="B811" s="408"/>
      <c r="C811" s="409"/>
      <c r="D811" s="410"/>
      <c r="E811" s="276"/>
      <c r="F811" s="411"/>
      <c r="G811" s="408"/>
      <c r="H811" s="52"/>
      <c r="J811" s="54"/>
      <c r="M811" s="412"/>
    </row>
    <row r="812" ht="15.75" customHeight="1">
      <c r="A812" s="408"/>
      <c r="B812" s="408"/>
      <c r="C812" s="409"/>
      <c r="D812" s="410"/>
      <c r="E812" s="276"/>
      <c r="F812" s="411"/>
      <c r="G812" s="408"/>
      <c r="H812" s="52"/>
      <c r="J812" s="54"/>
      <c r="M812" s="412"/>
    </row>
    <row r="813" ht="15.75" customHeight="1">
      <c r="A813" s="408"/>
      <c r="B813" s="408"/>
      <c r="C813" s="409"/>
      <c r="D813" s="410"/>
      <c r="E813" s="276"/>
      <c r="F813" s="411"/>
      <c r="G813" s="408"/>
      <c r="H813" s="52"/>
      <c r="J813" s="54"/>
      <c r="M813" s="412"/>
    </row>
    <row r="814" ht="15.75" customHeight="1">
      <c r="A814" s="408"/>
      <c r="B814" s="408"/>
      <c r="C814" s="409"/>
      <c r="D814" s="410"/>
      <c r="E814" s="276"/>
      <c r="F814" s="411"/>
      <c r="G814" s="408"/>
      <c r="H814" s="52"/>
      <c r="J814" s="54"/>
      <c r="M814" s="412"/>
    </row>
    <row r="815" ht="15.75" customHeight="1">
      <c r="A815" s="408"/>
      <c r="B815" s="408"/>
      <c r="C815" s="409"/>
      <c r="D815" s="410"/>
      <c r="E815" s="276"/>
      <c r="F815" s="411"/>
      <c r="G815" s="408"/>
      <c r="H815" s="52"/>
      <c r="J815" s="54"/>
      <c r="M815" s="412"/>
    </row>
    <row r="816" ht="15.75" customHeight="1">
      <c r="A816" s="408"/>
      <c r="B816" s="408"/>
      <c r="C816" s="409"/>
      <c r="D816" s="410"/>
      <c r="E816" s="276"/>
      <c r="F816" s="411"/>
      <c r="G816" s="408"/>
      <c r="H816" s="52"/>
      <c r="J816" s="54"/>
      <c r="M816" s="412"/>
    </row>
    <row r="817" ht="15.75" customHeight="1">
      <c r="A817" s="408"/>
      <c r="B817" s="408"/>
      <c r="C817" s="409"/>
      <c r="D817" s="410"/>
      <c r="E817" s="276"/>
      <c r="F817" s="411"/>
      <c r="G817" s="408"/>
      <c r="H817" s="52"/>
      <c r="J817" s="54"/>
      <c r="M817" s="412"/>
    </row>
    <row r="818" ht="15.75" customHeight="1">
      <c r="A818" s="408"/>
      <c r="B818" s="408"/>
      <c r="C818" s="409"/>
      <c r="D818" s="410"/>
      <c r="E818" s="276"/>
      <c r="F818" s="411"/>
      <c r="G818" s="408"/>
      <c r="H818" s="52"/>
      <c r="J818" s="54"/>
      <c r="M818" s="412"/>
    </row>
    <row r="819" ht="15.75" customHeight="1">
      <c r="A819" s="408"/>
      <c r="B819" s="408"/>
      <c r="C819" s="409"/>
      <c r="D819" s="410"/>
      <c r="E819" s="276"/>
      <c r="F819" s="411"/>
      <c r="G819" s="408"/>
      <c r="H819" s="52"/>
      <c r="J819" s="54"/>
      <c r="M819" s="412"/>
    </row>
    <row r="820" ht="15.75" customHeight="1">
      <c r="A820" s="408"/>
      <c r="B820" s="408"/>
      <c r="C820" s="409"/>
      <c r="D820" s="410"/>
      <c r="E820" s="276"/>
      <c r="F820" s="411"/>
      <c r="G820" s="408"/>
      <c r="H820" s="52"/>
      <c r="J820" s="54"/>
      <c r="M820" s="412"/>
    </row>
    <row r="821" ht="15.75" customHeight="1">
      <c r="A821" s="408"/>
      <c r="B821" s="408"/>
      <c r="C821" s="409"/>
      <c r="D821" s="410"/>
      <c r="E821" s="276"/>
      <c r="F821" s="411"/>
      <c r="G821" s="408"/>
      <c r="H821" s="52"/>
      <c r="J821" s="54"/>
      <c r="M821" s="412"/>
    </row>
    <row r="822" ht="15.75" customHeight="1">
      <c r="A822" s="408"/>
      <c r="B822" s="408"/>
      <c r="C822" s="409"/>
      <c r="D822" s="410"/>
      <c r="E822" s="276"/>
      <c r="F822" s="411"/>
      <c r="G822" s="408"/>
      <c r="H822" s="52"/>
      <c r="J822" s="54"/>
      <c r="M822" s="412"/>
    </row>
    <row r="823" ht="15.75" customHeight="1">
      <c r="A823" s="408"/>
      <c r="B823" s="408"/>
      <c r="C823" s="409"/>
      <c r="D823" s="410"/>
      <c r="E823" s="276"/>
      <c r="F823" s="411"/>
      <c r="G823" s="408"/>
      <c r="H823" s="52"/>
      <c r="J823" s="54"/>
      <c r="M823" s="412"/>
    </row>
    <row r="824" ht="15.75" customHeight="1">
      <c r="A824" s="408"/>
      <c r="B824" s="408"/>
      <c r="C824" s="409"/>
      <c r="D824" s="410"/>
      <c r="E824" s="276"/>
      <c r="F824" s="411"/>
      <c r="G824" s="408"/>
      <c r="H824" s="52"/>
      <c r="J824" s="54"/>
      <c r="M824" s="412"/>
    </row>
    <row r="825" ht="15.75" customHeight="1">
      <c r="A825" s="408"/>
      <c r="B825" s="408"/>
      <c r="C825" s="409"/>
      <c r="D825" s="410"/>
      <c r="E825" s="276"/>
      <c r="F825" s="411"/>
      <c r="G825" s="408"/>
      <c r="H825" s="52"/>
      <c r="J825" s="54"/>
      <c r="M825" s="412"/>
    </row>
    <row r="826" ht="15.75" customHeight="1">
      <c r="A826" s="408"/>
      <c r="B826" s="408"/>
      <c r="C826" s="409"/>
      <c r="D826" s="410"/>
      <c r="E826" s="276"/>
      <c r="F826" s="411"/>
      <c r="G826" s="408"/>
      <c r="H826" s="52"/>
      <c r="J826" s="54"/>
      <c r="M826" s="412"/>
    </row>
    <row r="827" ht="15.75" customHeight="1">
      <c r="A827" s="408"/>
      <c r="B827" s="408"/>
      <c r="C827" s="409"/>
      <c r="D827" s="410"/>
      <c r="E827" s="276"/>
      <c r="F827" s="411"/>
      <c r="G827" s="408"/>
      <c r="H827" s="52"/>
      <c r="J827" s="54"/>
      <c r="M827" s="412"/>
    </row>
    <row r="828" ht="15.75" customHeight="1">
      <c r="A828" s="408"/>
      <c r="B828" s="408"/>
      <c r="C828" s="409"/>
      <c r="D828" s="410"/>
      <c r="E828" s="276"/>
      <c r="F828" s="411"/>
      <c r="G828" s="408"/>
      <c r="H828" s="52"/>
      <c r="J828" s="54"/>
      <c r="M828" s="412"/>
    </row>
    <row r="829" ht="15.75" customHeight="1">
      <c r="A829" s="408"/>
      <c r="B829" s="408"/>
      <c r="C829" s="409"/>
      <c r="D829" s="410"/>
      <c r="E829" s="276"/>
      <c r="F829" s="411"/>
      <c r="G829" s="408"/>
      <c r="H829" s="52"/>
      <c r="J829" s="54"/>
      <c r="M829" s="412"/>
    </row>
    <row r="830" ht="15.75" customHeight="1">
      <c r="A830" s="408"/>
      <c r="B830" s="408"/>
      <c r="C830" s="409"/>
      <c r="D830" s="410"/>
      <c r="E830" s="276"/>
      <c r="F830" s="411"/>
      <c r="G830" s="408"/>
      <c r="H830" s="52"/>
      <c r="J830" s="54"/>
      <c r="M830" s="412"/>
    </row>
    <row r="831" ht="15.75" customHeight="1">
      <c r="A831" s="408"/>
      <c r="B831" s="408"/>
      <c r="C831" s="409"/>
      <c r="D831" s="410"/>
      <c r="E831" s="276"/>
      <c r="F831" s="411"/>
      <c r="G831" s="408"/>
      <c r="H831" s="52"/>
      <c r="J831" s="54"/>
      <c r="M831" s="412"/>
    </row>
    <row r="832" ht="15.75" customHeight="1">
      <c r="A832" s="408"/>
      <c r="B832" s="408"/>
      <c r="C832" s="409"/>
      <c r="D832" s="410"/>
      <c r="E832" s="276"/>
      <c r="F832" s="411"/>
      <c r="G832" s="408"/>
      <c r="H832" s="52"/>
      <c r="J832" s="54"/>
      <c r="M832" s="412"/>
    </row>
    <row r="833" ht="15.75" customHeight="1">
      <c r="A833" s="408"/>
      <c r="B833" s="408"/>
      <c r="C833" s="409"/>
      <c r="D833" s="410"/>
      <c r="E833" s="276"/>
      <c r="F833" s="411"/>
      <c r="G833" s="408"/>
      <c r="H833" s="52"/>
      <c r="J833" s="54"/>
      <c r="M833" s="412"/>
    </row>
    <row r="834" ht="15.75" customHeight="1">
      <c r="A834" s="408"/>
      <c r="B834" s="408"/>
      <c r="C834" s="409"/>
      <c r="D834" s="410"/>
      <c r="E834" s="276"/>
      <c r="F834" s="411"/>
      <c r="G834" s="408"/>
      <c r="H834" s="52"/>
      <c r="J834" s="54"/>
      <c r="M834" s="412"/>
    </row>
    <row r="835" ht="15.75" customHeight="1">
      <c r="A835" s="408"/>
      <c r="B835" s="408"/>
      <c r="C835" s="409"/>
      <c r="D835" s="410"/>
      <c r="E835" s="276"/>
      <c r="F835" s="411"/>
      <c r="G835" s="408"/>
      <c r="H835" s="52"/>
      <c r="J835" s="54"/>
      <c r="M835" s="412"/>
    </row>
    <row r="836" ht="15.75" customHeight="1">
      <c r="A836" s="408"/>
      <c r="B836" s="408"/>
      <c r="C836" s="409"/>
      <c r="D836" s="410"/>
      <c r="E836" s="276"/>
      <c r="F836" s="411"/>
      <c r="G836" s="408"/>
      <c r="H836" s="52"/>
      <c r="J836" s="54"/>
      <c r="M836" s="412"/>
    </row>
    <row r="837" ht="15.75" customHeight="1">
      <c r="A837" s="408"/>
      <c r="B837" s="408"/>
      <c r="C837" s="409"/>
      <c r="D837" s="410"/>
      <c r="E837" s="276"/>
      <c r="F837" s="411"/>
      <c r="G837" s="408"/>
      <c r="H837" s="52"/>
      <c r="J837" s="54"/>
      <c r="M837" s="412"/>
    </row>
    <row r="838" ht="15.75" customHeight="1">
      <c r="A838" s="408"/>
      <c r="B838" s="408"/>
      <c r="C838" s="409"/>
      <c r="D838" s="410"/>
      <c r="E838" s="276"/>
      <c r="F838" s="411"/>
      <c r="G838" s="408"/>
      <c r="H838" s="52"/>
      <c r="J838" s="54"/>
      <c r="M838" s="412"/>
    </row>
    <row r="839" ht="15.75" customHeight="1">
      <c r="A839" s="408"/>
      <c r="B839" s="408"/>
      <c r="C839" s="409"/>
      <c r="D839" s="410"/>
      <c r="E839" s="276"/>
      <c r="F839" s="411"/>
      <c r="G839" s="408"/>
      <c r="H839" s="52"/>
      <c r="J839" s="54"/>
      <c r="M839" s="412"/>
    </row>
    <row r="840" ht="15.75" customHeight="1">
      <c r="A840" s="408"/>
      <c r="B840" s="408"/>
      <c r="C840" s="409"/>
      <c r="D840" s="410"/>
      <c r="E840" s="276"/>
      <c r="F840" s="411"/>
      <c r="G840" s="408"/>
      <c r="H840" s="52"/>
      <c r="J840" s="54"/>
      <c r="M840" s="412"/>
    </row>
    <row r="841" ht="15.75" customHeight="1">
      <c r="A841" s="408"/>
      <c r="B841" s="408"/>
      <c r="C841" s="409"/>
      <c r="D841" s="410"/>
      <c r="E841" s="276"/>
      <c r="F841" s="411"/>
      <c r="G841" s="408"/>
      <c r="H841" s="52"/>
      <c r="J841" s="54"/>
      <c r="M841" s="412"/>
    </row>
    <row r="842" ht="15.75" customHeight="1">
      <c r="A842" s="408"/>
      <c r="B842" s="408"/>
      <c r="C842" s="409"/>
      <c r="D842" s="410"/>
      <c r="E842" s="276"/>
      <c r="F842" s="411"/>
      <c r="G842" s="408"/>
      <c r="H842" s="52"/>
      <c r="J842" s="54"/>
      <c r="M842" s="412"/>
    </row>
    <row r="843" ht="15.75" customHeight="1">
      <c r="A843" s="408"/>
      <c r="B843" s="408"/>
      <c r="C843" s="409"/>
      <c r="D843" s="410"/>
      <c r="E843" s="276"/>
      <c r="F843" s="411"/>
      <c r="G843" s="408"/>
      <c r="H843" s="52"/>
      <c r="J843" s="54"/>
      <c r="M843" s="412"/>
    </row>
    <row r="844" ht="15.75" customHeight="1">
      <c r="A844" s="408"/>
      <c r="B844" s="408"/>
      <c r="C844" s="409"/>
      <c r="D844" s="410"/>
      <c r="E844" s="276"/>
      <c r="F844" s="411"/>
      <c r="G844" s="408"/>
      <c r="H844" s="52"/>
      <c r="J844" s="54"/>
      <c r="M844" s="412"/>
    </row>
    <row r="845" ht="15.75" customHeight="1">
      <c r="A845" s="408"/>
      <c r="B845" s="408"/>
      <c r="C845" s="409"/>
      <c r="D845" s="410"/>
      <c r="E845" s="276"/>
      <c r="F845" s="411"/>
      <c r="G845" s="408"/>
      <c r="H845" s="52"/>
      <c r="J845" s="54"/>
      <c r="M845" s="412"/>
    </row>
    <row r="846" ht="15.75" customHeight="1">
      <c r="A846" s="408"/>
      <c r="B846" s="408"/>
      <c r="C846" s="409"/>
      <c r="D846" s="410"/>
      <c r="E846" s="276"/>
      <c r="F846" s="411"/>
      <c r="G846" s="408"/>
      <c r="H846" s="52"/>
      <c r="J846" s="54"/>
      <c r="M846" s="412"/>
    </row>
    <row r="847" ht="15.75" customHeight="1">
      <c r="A847" s="408"/>
      <c r="B847" s="408"/>
      <c r="C847" s="409"/>
      <c r="D847" s="410"/>
      <c r="E847" s="276"/>
      <c r="F847" s="411"/>
      <c r="G847" s="408"/>
      <c r="H847" s="52"/>
      <c r="J847" s="54"/>
      <c r="M847" s="412"/>
    </row>
    <row r="848" ht="15.75" customHeight="1">
      <c r="A848" s="408"/>
      <c r="B848" s="408"/>
      <c r="C848" s="409"/>
      <c r="D848" s="410"/>
      <c r="E848" s="276"/>
      <c r="F848" s="411"/>
      <c r="G848" s="408"/>
      <c r="H848" s="52"/>
      <c r="J848" s="54"/>
      <c r="M848" s="412"/>
    </row>
    <row r="849" ht="15.75" customHeight="1">
      <c r="A849" s="408"/>
      <c r="B849" s="408"/>
      <c r="C849" s="409"/>
      <c r="D849" s="410"/>
      <c r="E849" s="276"/>
      <c r="F849" s="411"/>
      <c r="G849" s="408"/>
      <c r="H849" s="52"/>
      <c r="J849" s="54"/>
      <c r="M849" s="412"/>
    </row>
    <row r="850" ht="15.75" customHeight="1">
      <c r="A850" s="408"/>
      <c r="B850" s="408"/>
      <c r="C850" s="409"/>
      <c r="D850" s="410"/>
      <c r="E850" s="276"/>
      <c r="F850" s="411"/>
      <c r="G850" s="408"/>
      <c r="H850" s="52"/>
      <c r="J850" s="54"/>
      <c r="M850" s="412"/>
    </row>
    <row r="851" ht="15.75" customHeight="1">
      <c r="A851" s="408"/>
      <c r="B851" s="408"/>
      <c r="C851" s="409"/>
      <c r="D851" s="410"/>
      <c r="E851" s="276"/>
      <c r="F851" s="411"/>
      <c r="G851" s="408"/>
      <c r="H851" s="52"/>
      <c r="J851" s="54"/>
      <c r="M851" s="412"/>
    </row>
    <row r="852" ht="15.75" customHeight="1">
      <c r="A852" s="408"/>
      <c r="B852" s="408"/>
      <c r="C852" s="409"/>
      <c r="D852" s="410"/>
      <c r="E852" s="276"/>
      <c r="F852" s="411"/>
      <c r="G852" s="408"/>
      <c r="H852" s="52"/>
      <c r="J852" s="54"/>
      <c r="M852" s="412"/>
    </row>
    <row r="853" ht="15.75" customHeight="1">
      <c r="A853" s="408"/>
      <c r="B853" s="408"/>
      <c r="C853" s="409"/>
      <c r="D853" s="410"/>
      <c r="E853" s="276"/>
      <c r="F853" s="411"/>
      <c r="G853" s="408"/>
      <c r="H853" s="52"/>
      <c r="J853" s="54"/>
      <c r="M853" s="412"/>
    </row>
    <row r="854" ht="15.75" customHeight="1">
      <c r="A854" s="408"/>
      <c r="B854" s="408"/>
      <c r="C854" s="409"/>
      <c r="D854" s="410"/>
      <c r="E854" s="276"/>
      <c r="F854" s="411"/>
      <c r="G854" s="408"/>
      <c r="H854" s="52"/>
      <c r="J854" s="54"/>
      <c r="M854" s="412"/>
    </row>
    <row r="855" ht="15.75" customHeight="1">
      <c r="A855" s="408"/>
      <c r="B855" s="408"/>
      <c r="C855" s="409"/>
      <c r="D855" s="410"/>
      <c r="E855" s="276"/>
      <c r="F855" s="411"/>
      <c r="G855" s="408"/>
      <c r="H855" s="52"/>
      <c r="J855" s="54"/>
      <c r="M855" s="412"/>
    </row>
    <row r="856" ht="15.75" customHeight="1">
      <c r="A856" s="408"/>
      <c r="B856" s="408"/>
      <c r="C856" s="409"/>
      <c r="D856" s="410"/>
      <c r="E856" s="276"/>
      <c r="F856" s="411"/>
      <c r="G856" s="408"/>
      <c r="H856" s="52"/>
      <c r="J856" s="54"/>
      <c r="M856" s="412"/>
    </row>
    <row r="857" ht="15.75" customHeight="1">
      <c r="A857" s="408"/>
      <c r="B857" s="408"/>
      <c r="C857" s="409"/>
      <c r="D857" s="410"/>
      <c r="E857" s="276"/>
      <c r="F857" s="411"/>
      <c r="G857" s="408"/>
      <c r="H857" s="52"/>
      <c r="J857" s="54"/>
      <c r="M857" s="412"/>
    </row>
    <row r="858" ht="15.75" customHeight="1">
      <c r="A858" s="408"/>
      <c r="B858" s="408"/>
      <c r="C858" s="409"/>
      <c r="D858" s="410"/>
      <c r="E858" s="276"/>
      <c r="F858" s="411"/>
      <c r="G858" s="408"/>
      <c r="H858" s="52"/>
      <c r="J858" s="54"/>
      <c r="M858" s="412"/>
    </row>
    <row r="859" ht="15.75" customHeight="1">
      <c r="A859" s="408"/>
      <c r="B859" s="408"/>
      <c r="C859" s="409"/>
      <c r="D859" s="410"/>
      <c r="E859" s="276"/>
      <c r="F859" s="411"/>
      <c r="G859" s="408"/>
      <c r="H859" s="52"/>
      <c r="J859" s="54"/>
      <c r="M859" s="412"/>
    </row>
    <row r="860" ht="15.75" customHeight="1">
      <c r="A860" s="408"/>
      <c r="B860" s="408"/>
      <c r="C860" s="409"/>
      <c r="D860" s="410"/>
      <c r="E860" s="276"/>
      <c r="F860" s="411"/>
      <c r="G860" s="408"/>
      <c r="H860" s="52"/>
      <c r="J860" s="54"/>
      <c r="M860" s="412"/>
    </row>
    <row r="861" ht="15.75" customHeight="1">
      <c r="A861" s="408"/>
      <c r="B861" s="408"/>
      <c r="C861" s="409"/>
      <c r="D861" s="410"/>
      <c r="E861" s="276"/>
      <c r="F861" s="411"/>
      <c r="G861" s="408"/>
      <c r="H861" s="52"/>
      <c r="J861" s="54"/>
      <c r="M861" s="412"/>
    </row>
    <row r="862" ht="15.75" customHeight="1">
      <c r="A862" s="408"/>
      <c r="B862" s="408"/>
      <c r="C862" s="409"/>
      <c r="D862" s="410"/>
      <c r="E862" s="276"/>
      <c r="F862" s="411"/>
      <c r="G862" s="408"/>
      <c r="H862" s="52"/>
      <c r="J862" s="54"/>
      <c r="M862" s="412"/>
    </row>
    <row r="863" ht="15.75" customHeight="1">
      <c r="A863" s="408"/>
      <c r="B863" s="408"/>
      <c r="C863" s="409"/>
      <c r="D863" s="410"/>
      <c r="E863" s="276"/>
      <c r="F863" s="411"/>
      <c r="G863" s="408"/>
      <c r="H863" s="52"/>
      <c r="J863" s="54"/>
      <c r="M863" s="412"/>
    </row>
    <row r="864" ht="15.75" customHeight="1">
      <c r="A864" s="408"/>
      <c r="B864" s="408"/>
      <c r="C864" s="409"/>
      <c r="D864" s="410"/>
      <c r="E864" s="276"/>
      <c r="F864" s="411"/>
      <c r="G864" s="408"/>
      <c r="H864" s="52"/>
      <c r="J864" s="54"/>
      <c r="M864" s="412"/>
    </row>
    <row r="865" ht="15.75" customHeight="1">
      <c r="A865" s="408"/>
      <c r="B865" s="408"/>
      <c r="C865" s="409"/>
      <c r="D865" s="410"/>
      <c r="E865" s="276"/>
      <c r="F865" s="411"/>
      <c r="G865" s="408"/>
      <c r="H865" s="52"/>
      <c r="J865" s="54"/>
      <c r="M865" s="412"/>
    </row>
    <row r="866" ht="15.75" customHeight="1">
      <c r="A866" s="408"/>
      <c r="B866" s="408"/>
      <c r="C866" s="409"/>
      <c r="D866" s="410"/>
      <c r="E866" s="276"/>
      <c r="F866" s="411"/>
      <c r="G866" s="408"/>
      <c r="H866" s="52"/>
      <c r="J866" s="54"/>
      <c r="M866" s="412"/>
    </row>
    <row r="867" ht="15.75" customHeight="1">
      <c r="A867" s="408"/>
      <c r="B867" s="408"/>
      <c r="C867" s="409"/>
      <c r="D867" s="410"/>
      <c r="E867" s="276"/>
      <c r="F867" s="411"/>
      <c r="G867" s="408"/>
      <c r="H867" s="52"/>
      <c r="J867" s="54"/>
      <c r="M867" s="412"/>
    </row>
    <row r="868" ht="15.75" customHeight="1">
      <c r="A868" s="408"/>
      <c r="B868" s="408"/>
      <c r="C868" s="409"/>
      <c r="D868" s="410"/>
      <c r="E868" s="276"/>
      <c r="F868" s="411"/>
      <c r="G868" s="408"/>
      <c r="H868" s="52"/>
      <c r="J868" s="54"/>
      <c r="M868" s="412"/>
    </row>
    <row r="869" ht="15.75" customHeight="1">
      <c r="A869" s="408"/>
      <c r="B869" s="408"/>
      <c r="C869" s="409"/>
      <c r="D869" s="410"/>
      <c r="E869" s="276"/>
      <c r="F869" s="411"/>
      <c r="G869" s="408"/>
      <c r="H869" s="52"/>
      <c r="J869" s="54"/>
      <c r="M869" s="412"/>
    </row>
    <row r="870" ht="15.75" customHeight="1">
      <c r="A870" s="408"/>
      <c r="B870" s="408"/>
      <c r="C870" s="409"/>
      <c r="D870" s="410"/>
      <c r="E870" s="276"/>
      <c r="F870" s="411"/>
      <c r="G870" s="408"/>
      <c r="H870" s="52"/>
      <c r="J870" s="54"/>
      <c r="M870" s="412"/>
    </row>
    <row r="871" ht="15.75" customHeight="1">
      <c r="A871" s="408"/>
      <c r="B871" s="408"/>
      <c r="C871" s="409"/>
      <c r="D871" s="410"/>
      <c r="E871" s="276"/>
      <c r="F871" s="411"/>
      <c r="G871" s="408"/>
      <c r="H871" s="52"/>
      <c r="J871" s="54"/>
      <c r="M871" s="412"/>
    </row>
    <row r="872" ht="15.75" customHeight="1">
      <c r="A872" s="408"/>
      <c r="B872" s="408"/>
      <c r="C872" s="409"/>
      <c r="D872" s="410"/>
      <c r="E872" s="276"/>
      <c r="F872" s="411"/>
      <c r="G872" s="408"/>
      <c r="H872" s="52"/>
      <c r="J872" s="54"/>
      <c r="M872" s="412"/>
    </row>
    <row r="873" ht="15.75" customHeight="1">
      <c r="A873" s="408"/>
      <c r="B873" s="408"/>
      <c r="C873" s="409"/>
      <c r="D873" s="410"/>
      <c r="E873" s="276"/>
      <c r="F873" s="411"/>
      <c r="G873" s="408"/>
      <c r="H873" s="52"/>
      <c r="J873" s="54"/>
      <c r="M873" s="412"/>
    </row>
    <row r="874" ht="15.75" customHeight="1">
      <c r="A874" s="408"/>
      <c r="B874" s="408"/>
      <c r="C874" s="409"/>
      <c r="D874" s="410"/>
      <c r="E874" s="276"/>
      <c r="F874" s="411"/>
      <c r="G874" s="408"/>
      <c r="H874" s="52"/>
      <c r="J874" s="54"/>
      <c r="M874" s="412"/>
    </row>
    <row r="875" ht="15.75" customHeight="1">
      <c r="A875" s="408"/>
      <c r="B875" s="408"/>
      <c r="C875" s="409"/>
      <c r="D875" s="410"/>
      <c r="E875" s="276"/>
      <c r="F875" s="411"/>
      <c r="G875" s="408"/>
      <c r="H875" s="52"/>
      <c r="J875" s="54"/>
      <c r="M875" s="412"/>
    </row>
    <row r="876" ht="15.75" customHeight="1">
      <c r="A876" s="408"/>
      <c r="B876" s="408"/>
      <c r="C876" s="409"/>
      <c r="D876" s="410"/>
      <c r="E876" s="276"/>
      <c r="F876" s="411"/>
      <c r="G876" s="408"/>
      <c r="H876" s="52"/>
      <c r="J876" s="54"/>
      <c r="M876" s="412"/>
    </row>
    <row r="877" ht="15.75" customHeight="1">
      <c r="A877" s="408"/>
      <c r="B877" s="408"/>
      <c r="C877" s="409"/>
      <c r="D877" s="410"/>
      <c r="E877" s="276"/>
      <c r="F877" s="411"/>
      <c r="G877" s="408"/>
      <c r="H877" s="52"/>
      <c r="J877" s="54"/>
      <c r="M877" s="412"/>
    </row>
    <row r="878" ht="15.75" customHeight="1">
      <c r="A878" s="408"/>
      <c r="B878" s="408"/>
      <c r="C878" s="409"/>
      <c r="D878" s="410"/>
      <c r="E878" s="276"/>
      <c r="F878" s="411"/>
      <c r="G878" s="408"/>
      <c r="H878" s="52"/>
      <c r="J878" s="54"/>
      <c r="M878" s="412"/>
    </row>
    <row r="879" ht="15.75" customHeight="1">
      <c r="A879" s="408"/>
      <c r="B879" s="408"/>
      <c r="C879" s="409"/>
      <c r="D879" s="410"/>
      <c r="E879" s="276"/>
      <c r="F879" s="411"/>
      <c r="G879" s="408"/>
      <c r="H879" s="52"/>
      <c r="J879" s="54"/>
      <c r="M879" s="412"/>
    </row>
    <row r="880" ht="15.75" customHeight="1">
      <c r="A880" s="408"/>
      <c r="B880" s="408"/>
      <c r="C880" s="409"/>
      <c r="D880" s="410"/>
      <c r="E880" s="276"/>
      <c r="F880" s="411"/>
      <c r="G880" s="408"/>
      <c r="H880" s="52"/>
      <c r="J880" s="54"/>
      <c r="M880" s="412"/>
    </row>
    <row r="881" ht="15.75" customHeight="1">
      <c r="A881" s="408"/>
      <c r="B881" s="408"/>
      <c r="C881" s="409"/>
      <c r="D881" s="410"/>
      <c r="E881" s="276"/>
      <c r="F881" s="411"/>
      <c r="G881" s="408"/>
      <c r="H881" s="52"/>
      <c r="J881" s="54"/>
      <c r="M881" s="412"/>
    </row>
    <row r="882" ht="15.75" customHeight="1">
      <c r="A882" s="408"/>
      <c r="B882" s="408"/>
      <c r="C882" s="409"/>
      <c r="D882" s="410"/>
      <c r="E882" s="276"/>
      <c r="F882" s="411"/>
      <c r="G882" s="408"/>
      <c r="H882" s="52"/>
      <c r="J882" s="54"/>
      <c r="M882" s="412"/>
    </row>
    <row r="883" ht="15.75" customHeight="1">
      <c r="A883" s="408"/>
      <c r="B883" s="408"/>
      <c r="C883" s="409"/>
      <c r="D883" s="410"/>
      <c r="E883" s="276"/>
      <c r="F883" s="411"/>
      <c r="G883" s="408"/>
      <c r="H883" s="52"/>
      <c r="J883" s="54"/>
      <c r="M883" s="412"/>
    </row>
    <row r="884" ht="15.75" customHeight="1">
      <c r="A884" s="408"/>
      <c r="B884" s="408"/>
      <c r="C884" s="409"/>
      <c r="D884" s="410"/>
      <c r="E884" s="276"/>
      <c r="F884" s="411"/>
      <c r="G884" s="408"/>
      <c r="H884" s="52"/>
      <c r="J884" s="54"/>
      <c r="M884" s="412"/>
    </row>
    <row r="885" ht="15.75" customHeight="1">
      <c r="A885" s="408"/>
      <c r="B885" s="408"/>
      <c r="C885" s="409"/>
      <c r="D885" s="410"/>
      <c r="E885" s="276"/>
      <c r="F885" s="411"/>
      <c r="G885" s="408"/>
      <c r="H885" s="52"/>
      <c r="J885" s="54"/>
      <c r="M885" s="412"/>
    </row>
    <row r="886" ht="15.75" customHeight="1">
      <c r="A886" s="408"/>
      <c r="B886" s="408"/>
      <c r="C886" s="409"/>
      <c r="D886" s="410"/>
      <c r="E886" s="276"/>
      <c r="F886" s="411"/>
      <c r="G886" s="408"/>
      <c r="H886" s="52"/>
      <c r="J886" s="54"/>
      <c r="M886" s="412"/>
    </row>
    <row r="887" ht="15.75" customHeight="1">
      <c r="A887" s="408"/>
      <c r="B887" s="408"/>
      <c r="C887" s="409"/>
      <c r="D887" s="410"/>
      <c r="E887" s="276"/>
      <c r="F887" s="411"/>
      <c r="G887" s="408"/>
      <c r="H887" s="52"/>
      <c r="J887" s="54"/>
      <c r="M887" s="412"/>
    </row>
    <row r="888" ht="15.75" customHeight="1">
      <c r="A888" s="408"/>
      <c r="B888" s="408"/>
      <c r="C888" s="409"/>
      <c r="D888" s="410"/>
      <c r="E888" s="276"/>
      <c r="F888" s="411"/>
      <c r="G888" s="408"/>
      <c r="H888" s="52"/>
      <c r="J888" s="54"/>
      <c r="M888" s="412"/>
    </row>
    <row r="889" ht="15.75" customHeight="1">
      <c r="A889" s="408"/>
      <c r="B889" s="408"/>
      <c r="C889" s="409"/>
      <c r="D889" s="410"/>
      <c r="E889" s="276"/>
      <c r="F889" s="411"/>
      <c r="G889" s="408"/>
      <c r="H889" s="52"/>
      <c r="J889" s="54"/>
      <c r="M889" s="412"/>
    </row>
    <row r="890" ht="15.75" customHeight="1">
      <c r="A890" s="408"/>
      <c r="B890" s="408"/>
      <c r="C890" s="409"/>
      <c r="D890" s="410"/>
      <c r="E890" s="276"/>
      <c r="F890" s="411"/>
      <c r="G890" s="408"/>
      <c r="H890" s="52"/>
      <c r="J890" s="54"/>
      <c r="M890" s="412"/>
    </row>
    <row r="891" ht="15.75" customHeight="1">
      <c r="A891" s="408"/>
      <c r="B891" s="408"/>
      <c r="C891" s="409"/>
      <c r="D891" s="410"/>
      <c r="E891" s="276"/>
      <c r="F891" s="411"/>
      <c r="G891" s="408"/>
      <c r="H891" s="52"/>
      <c r="J891" s="54"/>
      <c r="M891" s="412"/>
    </row>
    <row r="892" ht="15.75" customHeight="1">
      <c r="A892" s="408"/>
      <c r="B892" s="408"/>
      <c r="C892" s="409"/>
      <c r="D892" s="410"/>
      <c r="E892" s="276"/>
      <c r="F892" s="411"/>
      <c r="G892" s="408"/>
      <c r="H892" s="52"/>
      <c r="J892" s="54"/>
      <c r="M892" s="412"/>
    </row>
    <row r="893" ht="15.75" customHeight="1">
      <c r="A893" s="408"/>
      <c r="B893" s="408"/>
      <c r="C893" s="409"/>
      <c r="D893" s="410"/>
      <c r="E893" s="276"/>
      <c r="F893" s="411"/>
      <c r="G893" s="408"/>
      <c r="H893" s="52"/>
      <c r="J893" s="54"/>
      <c r="M893" s="412"/>
    </row>
    <row r="894" ht="15.75" customHeight="1">
      <c r="A894" s="408"/>
      <c r="B894" s="408"/>
      <c r="C894" s="409"/>
      <c r="D894" s="410"/>
      <c r="E894" s="276"/>
      <c r="F894" s="411"/>
      <c r="G894" s="408"/>
      <c r="H894" s="52"/>
      <c r="J894" s="54"/>
      <c r="M894" s="412"/>
    </row>
    <row r="895" ht="15.75" customHeight="1">
      <c r="A895" s="408"/>
      <c r="B895" s="408"/>
      <c r="C895" s="409"/>
      <c r="D895" s="410"/>
      <c r="E895" s="276"/>
      <c r="F895" s="411"/>
      <c r="G895" s="408"/>
      <c r="H895" s="52"/>
      <c r="J895" s="54"/>
      <c r="M895" s="412"/>
    </row>
    <row r="896" ht="15.75" customHeight="1">
      <c r="A896" s="408"/>
      <c r="B896" s="408"/>
      <c r="C896" s="409"/>
      <c r="D896" s="410"/>
      <c r="E896" s="276"/>
      <c r="F896" s="411"/>
      <c r="G896" s="408"/>
      <c r="H896" s="52"/>
      <c r="J896" s="54"/>
      <c r="M896" s="412"/>
    </row>
    <row r="897" ht="15.75" customHeight="1">
      <c r="A897" s="408"/>
      <c r="B897" s="408"/>
      <c r="C897" s="409"/>
      <c r="D897" s="410"/>
      <c r="E897" s="276"/>
      <c r="F897" s="411"/>
      <c r="G897" s="408"/>
      <c r="H897" s="52"/>
      <c r="J897" s="54"/>
      <c r="M897" s="412"/>
    </row>
    <row r="898" ht="15.75" customHeight="1">
      <c r="A898" s="408"/>
      <c r="B898" s="408"/>
      <c r="C898" s="409"/>
      <c r="D898" s="410"/>
      <c r="E898" s="276"/>
      <c r="F898" s="411"/>
      <c r="G898" s="408"/>
      <c r="H898" s="52"/>
      <c r="J898" s="54"/>
      <c r="M898" s="412"/>
    </row>
    <row r="899" ht="15.75" customHeight="1">
      <c r="A899" s="408"/>
      <c r="B899" s="408"/>
      <c r="C899" s="409"/>
      <c r="D899" s="410"/>
      <c r="E899" s="276"/>
      <c r="F899" s="411"/>
      <c r="G899" s="408"/>
      <c r="H899" s="52"/>
      <c r="J899" s="54"/>
      <c r="M899" s="412"/>
    </row>
    <row r="900" ht="15.75" customHeight="1">
      <c r="A900" s="408"/>
      <c r="B900" s="408"/>
      <c r="C900" s="409"/>
      <c r="D900" s="410"/>
      <c r="E900" s="276"/>
      <c r="F900" s="411"/>
      <c r="G900" s="408"/>
      <c r="H900" s="52"/>
      <c r="J900" s="54"/>
      <c r="M900" s="412"/>
    </row>
    <row r="901" ht="15.75" customHeight="1">
      <c r="A901" s="408"/>
      <c r="B901" s="408"/>
      <c r="C901" s="409"/>
      <c r="D901" s="410"/>
      <c r="E901" s="276"/>
      <c r="F901" s="411"/>
      <c r="G901" s="408"/>
      <c r="H901" s="52"/>
      <c r="J901" s="54"/>
      <c r="M901" s="412"/>
    </row>
    <row r="902" ht="15.75" customHeight="1">
      <c r="A902" s="408"/>
      <c r="B902" s="408"/>
      <c r="C902" s="409"/>
      <c r="D902" s="410"/>
      <c r="E902" s="276"/>
      <c r="F902" s="411"/>
      <c r="G902" s="408"/>
      <c r="H902" s="52"/>
      <c r="J902" s="54"/>
      <c r="M902" s="412"/>
    </row>
    <row r="903" ht="15.75" customHeight="1">
      <c r="A903" s="408"/>
      <c r="B903" s="408"/>
      <c r="C903" s="409"/>
      <c r="D903" s="410"/>
      <c r="E903" s="276"/>
      <c r="F903" s="411"/>
      <c r="G903" s="408"/>
      <c r="H903" s="52"/>
      <c r="J903" s="54"/>
      <c r="M903" s="412"/>
    </row>
    <row r="904" ht="15.75" customHeight="1">
      <c r="A904" s="408"/>
      <c r="B904" s="408"/>
      <c r="C904" s="409"/>
      <c r="D904" s="410"/>
      <c r="E904" s="276"/>
      <c r="F904" s="411"/>
      <c r="G904" s="408"/>
      <c r="H904" s="52"/>
      <c r="J904" s="54"/>
      <c r="M904" s="412"/>
    </row>
    <row r="905" ht="15.75" customHeight="1">
      <c r="A905" s="408"/>
      <c r="B905" s="408"/>
      <c r="C905" s="409"/>
      <c r="D905" s="410"/>
      <c r="E905" s="276"/>
      <c r="F905" s="411"/>
      <c r="G905" s="408"/>
      <c r="H905" s="52"/>
      <c r="J905" s="54"/>
      <c r="M905" s="412"/>
    </row>
    <row r="906" ht="15.75" customHeight="1">
      <c r="A906" s="408"/>
      <c r="B906" s="408"/>
      <c r="C906" s="409"/>
      <c r="D906" s="410"/>
      <c r="E906" s="276"/>
      <c r="F906" s="411"/>
      <c r="G906" s="408"/>
      <c r="H906" s="52"/>
      <c r="J906" s="54"/>
      <c r="M906" s="412"/>
    </row>
    <row r="907" ht="15.75" customHeight="1">
      <c r="A907" s="408"/>
      <c r="B907" s="408"/>
      <c r="C907" s="409"/>
      <c r="D907" s="410"/>
      <c r="E907" s="276"/>
      <c r="F907" s="411"/>
      <c r="G907" s="408"/>
      <c r="H907" s="52"/>
      <c r="J907" s="54"/>
      <c r="M907" s="412"/>
    </row>
    <row r="908" ht="15.75" customHeight="1">
      <c r="A908" s="408"/>
      <c r="B908" s="408"/>
      <c r="C908" s="409"/>
      <c r="D908" s="410"/>
      <c r="E908" s="276"/>
      <c r="F908" s="411"/>
      <c r="G908" s="408"/>
      <c r="H908" s="52"/>
      <c r="J908" s="54"/>
      <c r="M908" s="412"/>
    </row>
    <row r="909" ht="15.75" customHeight="1">
      <c r="A909" s="408"/>
      <c r="B909" s="408"/>
      <c r="C909" s="409"/>
      <c r="D909" s="410"/>
      <c r="E909" s="276"/>
      <c r="F909" s="411"/>
      <c r="G909" s="408"/>
      <c r="H909" s="52"/>
      <c r="J909" s="54"/>
      <c r="M909" s="412"/>
    </row>
    <row r="910" ht="15.75" customHeight="1">
      <c r="A910" s="408"/>
      <c r="B910" s="408"/>
      <c r="C910" s="409"/>
      <c r="D910" s="410"/>
      <c r="E910" s="276"/>
      <c r="F910" s="411"/>
      <c r="G910" s="408"/>
      <c r="H910" s="52"/>
      <c r="J910" s="54"/>
      <c r="M910" s="412"/>
    </row>
    <row r="911" ht="15.75" customHeight="1">
      <c r="A911" s="408"/>
      <c r="B911" s="408"/>
      <c r="C911" s="409"/>
      <c r="D911" s="410"/>
      <c r="E911" s="276"/>
      <c r="F911" s="411"/>
      <c r="G911" s="408"/>
      <c r="H911" s="52"/>
      <c r="J911" s="54"/>
      <c r="M911" s="412"/>
    </row>
    <row r="912" ht="15.75" customHeight="1">
      <c r="A912" s="408"/>
      <c r="B912" s="408"/>
      <c r="C912" s="409"/>
      <c r="D912" s="410"/>
      <c r="E912" s="276"/>
      <c r="F912" s="411"/>
      <c r="G912" s="408"/>
      <c r="H912" s="52"/>
      <c r="J912" s="54"/>
      <c r="M912" s="412"/>
    </row>
    <row r="913" ht="15.75" customHeight="1">
      <c r="A913" s="408"/>
      <c r="B913" s="408"/>
      <c r="C913" s="409"/>
      <c r="D913" s="410"/>
      <c r="E913" s="276"/>
      <c r="F913" s="411"/>
      <c r="G913" s="408"/>
      <c r="H913" s="52"/>
      <c r="J913" s="54"/>
      <c r="M913" s="412"/>
    </row>
    <row r="914" ht="15.75" customHeight="1">
      <c r="A914" s="408"/>
      <c r="B914" s="408"/>
      <c r="C914" s="409"/>
      <c r="D914" s="410"/>
      <c r="E914" s="276"/>
      <c r="F914" s="411"/>
      <c r="G914" s="408"/>
      <c r="H914" s="52"/>
      <c r="J914" s="54"/>
      <c r="M914" s="412"/>
    </row>
    <row r="915" ht="15.75" customHeight="1">
      <c r="A915" s="408"/>
      <c r="B915" s="408"/>
      <c r="C915" s="409"/>
      <c r="D915" s="410"/>
      <c r="E915" s="276"/>
      <c r="F915" s="411"/>
      <c r="G915" s="408"/>
      <c r="H915" s="52"/>
      <c r="J915" s="54"/>
      <c r="M915" s="412"/>
    </row>
    <row r="916" ht="15.75" customHeight="1">
      <c r="A916" s="408"/>
      <c r="B916" s="408"/>
      <c r="C916" s="409"/>
      <c r="D916" s="410"/>
      <c r="E916" s="276"/>
      <c r="F916" s="411"/>
      <c r="G916" s="408"/>
      <c r="H916" s="52"/>
      <c r="J916" s="54"/>
      <c r="M916" s="412"/>
    </row>
    <row r="917" ht="15.75" customHeight="1">
      <c r="A917" s="408"/>
      <c r="B917" s="408"/>
      <c r="C917" s="409"/>
      <c r="D917" s="410"/>
      <c r="E917" s="276"/>
      <c r="F917" s="411"/>
      <c r="G917" s="408"/>
      <c r="H917" s="52"/>
      <c r="J917" s="54"/>
      <c r="M917" s="412"/>
    </row>
    <row r="918" ht="15.75" customHeight="1">
      <c r="A918" s="408"/>
      <c r="B918" s="408"/>
      <c r="C918" s="409"/>
      <c r="D918" s="410"/>
      <c r="E918" s="276"/>
      <c r="F918" s="411"/>
      <c r="G918" s="408"/>
      <c r="H918" s="52"/>
      <c r="J918" s="54"/>
      <c r="M918" s="412"/>
    </row>
    <row r="919" ht="15.75" customHeight="1">
      <c r="A919" s="408"/>
      <c r="B919" s="408"/>
      <c r="C919" s="409"/>
      <c r="D919" s="410"/>
      <c r="E919" s="276"/>
      <c r="F919" s="411"/>
      <c r="G919" s="408"/>
      <c r="H919" s="52"/>
      <c r="J919" s="54"/>
      <c r="M919" s="412"/>
    </row>
    <row r="920" ht="15.75" customHeight="1">
      <c r="A920" s="408"/>
      <c r="B920" s="408"/>
      <c r="C920" s="409"/>
      <c r="D920" s="410"/>
      <c r="E920" s="276"/>
      <c r="F920" s="411"/>
      <c r="G920" s="408"/>
      <c r="H920" s="52"/>
      <c r="J920" s="54"/>
      <c r="M920" s="412"/>
    </row>
    <row r="921" ht="15.75" customHeight="1">
      <c r="A921" s="408"/>
      <c r="B921" s="408"/>
      <c r="C921" s="409"/>
      <c r="D921" s="410"/>
      <c r="E921" s="276"/>
      <c r="F921" s="411"/>
      <c r="G921" s="408"/>
      <c r="H921" s="52"/>
      <c r="J921" s="54"/>
      <c r="M921" s="412"/>
    </row>
    <row r="922" ht="15.75" customHeight="1">
      <c r="A922" s="408"/>
      <c r="B922" s="408"/>
      <c r="C922" s="409"/>
      <c r="D922" s="410"/>
      <c r="E922" s="276"/>
      <c r="F922" s="411"/>
      <c r="G922" s="408"/>
      <c r="H922" s="52"/>
      <c r="J922" s="54"/>
      <c r="M922" s="412"/>
    </row>
    <row r="923" ht="15.75" customHeight="1">
      <c r="A923" s="408"/>
      <c r="B923" s="408"/>
      <c r="C923" s="409"/>
      <c r="D923" s="410"/>
      <c r="E923" s="276"/>
      <c r="F923" s="411"/>
      <c r="G923" s="408"/>
      <c r="H923" s="52"/>
      <c r="J923" s="54"/>
      <c r="M923" s="412"/>
    </row>
    <row r="924" ht="15.75" customHeight="1">
      <c r="A924" s="408"/>
      <c r="B924" s="408"/>
      <c r="C924" s="409"/>
      <c r="D924" s="410"/>
      <c r="E924" s="276"/>
      <c r="F924" s="411"/>
      <c r="G924" s="408"/>
      <c r="H924" s="52"/>
      <c r="J924" s="54"/>
      <c r="M924" s="412"/>
    </row>
    <row r="925" ht="15.75" customHeight="1">
      <c r="A925" s="408"/>
      <c r="B925" s="408"/>
      <c r="C925" s="409"/>
      <c r="D925" s="410"/>
      <c r="E925" s="276"/>
      <c r="F925" s="411"/>
      <c r="G925" s="408"/>
      <c r="H925" s="52"/>
      <c r="J925" s="54"/>
      <c r="M925" s="412"/>
    </row>
    <row r="926" ht="15.75" customHeight="1">
      <c r="A926" s="408"/>
      <c r="B926" s="408"/>
      <c r="C926" s="409"/>
      <c r="D926" s="410"/>
      <c r="E926" s="276"/>
      <c r="F926" s="411"/>
      <c r="G926" s="408"/>
      <c r="H926" s="52"/>
      <c r="J926" s="54"/>
      <c r="M926" s="412"/>
    </row>
    <row r="927" ht="15.75" customHeight="1">
      <c r="A927" s="408"/>
      <c r="B927" s="408"/>
      <c r="C927" s="409"/>
      <c r="D927" s="410"/>
      <c r="E927" s="276"/>
      <c r="F927" s="411"/>
      <c r="G927" s="408"/>
      <c r="H927" s="52"/>
      <c r="J927" s="54"/>
      <c r="M927" s="412"/>
    </row>
    <row r="928" ht="15.75" customHeight="1">
      <c r="A928" s="408"/>
      <c r="B928" s="408"/>
      <c r="C928" s="409"/>
      <c r="D928" s="410"/>
      <c r="E928" s="276"/>
      <c r="F928" s="411"/>
      <c r="G928" s="408"/>
      <c r="H928" s="52"/>
      <c r="J928" s="54"/>
      <c r="M928" s="412"/>
    </row>
    <row r="929" ht="15.75" customHeight="1">
      <c r="A929" s="408"/>
      <c r="B929" s="408"/>
      <c r="C929" s="409"/>
      <c r="D929" s="410"/>
      <c r="E929" s="276"/>
      <c r="F929" s="411"/>
      <c r="G929" s="408"/>
      <c r="H929" s="52"/>
      <c r="J929" s="54"/>
      <c r="M929" s="412"/>
    </row>
    <row r="930" ht="15.75" customHeight="1">
      <c r="A930" s="408"/>
      <c r="B930" s="408"/>
      <c r="C930" s="409"/>
      <c r="D930" s="410"/>
      <c r="E930" s="276"/>
      <c r="F930" s="411"/>
      <c r="G930" s="408"/>
      <c r="H930" s="52"/>
      <c r="J930" s="54"/>
      <c r="M930" s="412"/>
    </row>
    <row r="931" ht="15.75" customHeight="1">
      <c r="A931" s="408"/>
      <c r="B931" s="408"/>
      <c r="C931" s="409"/>
      <c r="D931" s="410"/>
      <c r="E931" s="276"/>
      <c r="F931" s="411"/>
      <c r="G931" s="408"/>
      <c r="H931" s="52"/>
      <c r="J931" s="54"/>
      <c r="M931" s="412"/>
    </row>
    <row r="932" ht="15.75" customHeight="1">
      <c r="A932" s="408"/>
      <c r="B932" s="408"/>
      <c r="C932" s="409"/>
      <c r="D932" s="410"/>
      <c r="E932" s="276"/>
      <c r="F932" s="411"/>
      <c r="G932" s="408"/>
      <c r="H932" s="52"/>
      <c r="J932" s="54"/>
      <c r="M932" s="412"/>
    </row>
    <row r="933" ht="15.75" customHeight="1">
      <c r="A933" s="408"/>
      <c r="B933" s="408"/>
      <c r="C933" s="409"/>
      <c r="D933" s="410"/>
      <c r="E933" s="276"/>
      <c r="F933" s="411"/>
      <c r="G933" s="408"/>
      <c r="H933" s="52"/>
      <c r="J933" s="54"/>
      <c r="M933" s="412"/>
    </row>
    <row r="934" ht="15.75" customHeight="1">
      <c r="A934" s="408"/>
      <c r="B934" s="408"/>
      <c r="C934" s="409"/>
      <c r="D934" s="410"/>
      <c r="E934" s="276"/>
      <c r="F934" s="411"/>
      <c r="G934" s="408"/>
      <c r="H934" s="52"/>
      <c r="J934" s="54"/>
      <c r="M934" s="412"/>
    </row>
    <row r="935" ht="15.75" customHeight="1">
      <c r="A935" s="408"/>
      <c r="B935" s="408"/>
      <c r="C935" s="409"/>
      <c r="D935" s="410"/>
      <c r="E935" s="276"/>
      <c r="F935" s="411"/>
      <c r="G935" s="408"/>
      <c r="H935" s="52"/>
      <c r="J935" s="54"/>
      <c r="M935" s="412"/>
    </row>
    <row r="936" ht="15.75" customHeight="1">
      <c r="A936" s="408"/>
      <c r="B936" s="408"/>
      <c r="C936" s="409"/>
      <c r="D936" s="410"/>
      <c r="E936" s="276"/>
      <c r="F936" s="411"/>
      <c r="G936" s="408"/>
      <c r="H936" s="52"/>
      <c r="J936" s="54"/>
      <c r="M936" s="412"/>
    </row>
    <row r="937" ht="15.75" customHeight="1">
      <c r="A937" s="408"/>
      <c r="B937" s="408"/>
      <c r="C937" s="409"/>
      <c r="D937" s="410"/>
      <c r="E937" s="276"/>
      <c r="F937" s="411"/>
      <c r="G937" s="408"/>
      <c r="H937" s="52"/>
      <c r="J937" s="54"/>
      <c r="M937" s="412"/>
    </row>
    <row r="938" ht="15.75" customHeight="1">
      <c r="A938" s="408"/>
      <c r="B938" s="408"/>
      <c r="C938" s="409"/>
      <c r="D938" s="410"/>
      <c r="E938" s="276"/>
      <c r="F938" s="411"/>
      <c r="G938" s="408"/>
      <c r="H938" s="52"/>
      <c r="J938" s="54"/>
      <c r="M938" s="412"/>
    </row>
    <row r="939" ht="15.75" customHeight="1">
      <c r="A939" s="408"/>
      <c r="B939" s="408"/>
      <c r="C939" s="409"/>
      <c r="D939" s="410"/>
      <c r="E939" s="276"/>
      <c r="F939" s="411"/>
      <c r="G939" s="408"/>
      <c r="H939" s="52"/>
      <c r="J939" s="54"/>
      <c r="M939" s="412"/>
    </row>
    <row r="940" ht="15.75" customHeight="1">
      <c r="A940" s="408"/>
      <c r="B940" s="408"/>
      <c r="C940" s="409"/>
      <c r="D940" s="410"/>
      <c r="E940" s="276"/>
      <c r="F940" s="411"/>
      <c r="G940" s="408"/>
      <c r="H940" s="52"/>
      <c r="J940" s="54"/>
      <c r="M940" s="412"/>
    </row>
    <row r="941" ht="15.75" customHeight="1">
      <c r="A941" s="408"/>
      <c r="B941" s="408"/>
      <c r="C941" s="409"/>
      <c r="D941" s="410"/>
      <c r="E941" s="276"/>
      <c r="F941" s="411"/>
      <c r="G941" s="408"/>
      <c r="H941" s="52"/>
      <c r="J941" s="54"/>
      <c r="M941" s="412"/>
    </row>
    <row r="942" ht="15.75" customHeight="1">
      <c r="A942" s="408"/>
      <c r="B942" s="408"/>
      <c r="C942" s="409"/>
      <c r="D942" s="410"/>
      <c r="E942" s="276"/>
      <c r="F942" s="411"/>
      <c r="G942" s="408"/>
      <c r="H942" s="52"/>
      <c r="J942" s="54"/>
      <c r="M942" s="412"/>
    </row>
    <row r="943" ht="15.75" customHeight="1">
      <c r="A943" s="408"/>
      <c r="B943" s="408"/>
      <c r="C943" s="409"/>
      <c r="D943" s="410"/>
      <c r="E943" s="276"/>
      <c r="F943" s="411"/>
      <c r="G943" s="408"/>
      <c r="H943" s="52"/>
      <c r="J943" s="54"/>
      <c r="M943" s="412"/>
    </row>
    <row r="944" ht="15.75" customHeight="1">
      <c r="A944" s="408"/>
      <c r="B944" s="408"/>
      <c r="C944" s="409"/>
      <c r="D944" s="410"/>
      <c r="E944" s="276"/>
      <c r="F944" s="411"/>
      <c r="G944" s="408"/>
      <c r="H944" s="52"/>
      <c r="J944" s="54"/>
      <c r="M944" s="412"/>
    </row>
    <row r="945" ht="15.75" customHeight="1">
      <c r="A945" s="408"/>
      <c r="B945" s="408"/>
      <c r="C945" s="409"/>
      <c r="D945" s="410"/>
      <c r="E945" s="276"/>
      <c r="F945" s="411"/>
      <c r="G945" s="408"/>
      <c r="H945" s="52"/>
      <c r="J945" s="54"/>
      <c r="M945" s="412"/>
    </row>
    <row r="946" ht="15.75" customHeight="1">
      <c r="A946" s="408"/>
      <c r="B946" s="408"/>
      <c r="C946" s="409"/>
      <c r="D946" s="410"/>
      <c r="E946" s="276"/>
      <c r="F946" s="411"/>
      <c r="G946" s="408"/>
      <c r="H946" s="52"/>
      <c r="J946" s="54"/>
      <c r="M946" s="412"/>
    </row>
    <row r="947" ht="15.75" customHeight="1">
      <c r="A947" s="408"/>
      <c r="B947" s="408"/>
      <c r="C947" s="409"/>
      <c r="D947" s="410"/>
      <c r="E947" s="276"/>
      <c r="F947" s="411"/>
      <c r="G947" s="408"/>
      <c r="H947" s="52"/>
      <c r="J947" s="54"/>
      <c r="M947" s="412"/>
    </row>
    <row r="948" ht="15.75" customHeight="1">
      <c r="A948" s="408"/>
      <c r="B948" s="408"/>
      <c r="C948" s="409"/>
      <c r="D948" s="410"/>
      <c r="E948" s="276"/>
      <c r="F948" s="411"/>
      <c r="G948" s="408"/>
      <c r="H948" s="52"/>
      <c r="J948" s="54"/>
      <c r="M948" s="412"/>
    </row>
    <row r="949" ht="15.75" customHeight="1">
      <c r="A949" s="408"/>
      <c r="B949" s="408"/>
      <c r="C949" s="409"/>
      <c r="D949" s="410"/>
      <c r="E949" s="276"/>
      <c r="F949" s="411"/>
      <c r="G949" s="408"/>
      <c r="H949" s="52"/>
      <c r="J949" s="54"/>
      <c r="M949" s="412"/>
    </row>
    <row r="950" ht="15.75" customHeight="1">
      <c r="A950" s="408"/>
      <c r="B950" s="408"/>
      <c r="C950" s="409"/>
      <c r="D950" s="410"/>
      <c r="E950" s="276"/>
      <c r="F950" s="411"/>
      <c r="G950" s="408"/>
      <c r="H950" s="52"/>
      <c r="J950" s="54"/>
      <c r="M950" s="412"/>
    </row>
    <row r="951" ht="15.75" customHeight="1">
      <c r="A951" s="408"/>
      <c r="B951" s="408"/>
      <c r="C951" s="409"/>
      <c r="D951" s="410"/>
      <c r="E951" s="276"/>
      <c r="F951" s="411"/>
      <c r="G951" s="408"/>
      <c r="H951" s="52"/>
      <c r="J951" s="54"/>
      <c r="M951" s="412"/>
    </row>
    <row r="952" ht="15.75" customHeight="1">
      <c r="A952" s="408"/>
      <c r="B952" s="408"/>
      <c r="C952" s="409"/>
      <c r="D952" s="410"/>
      <c r="E952" s="276"/>
      <c r="F952" s="411"/>
      <c r="G952" s="408"/>
      <c r="H952" s="52"/>
      <c r="J952" s="54"/>
      <c r="M952" s="412"/>
    </row>
    <row r="953" ht="15.75" customHeight="1">
      <c r="A953" s="408"/>
      <c r="B953" s="408"/>
      <c r="C953" s="409"/>
      <c r="D953" s="410"/>
      <c r="E953" s="276"/>
      <c r="F953" s="411"/>
      <c r="G953" s="408"/>
      <c r="H953" s="52"/>
      <c r="J953" s="54"/>
      <c r="M953" s="412"/>
    </row>
    <row r="954" ht="15.75" customHeight="1">
      <c r="A954" s="408"/>
      <c r="B954" s="408"/>
      <c r="C954" s="409"/>
      <c r="D954" s="410"/>
      <c r="E954" s="276"/>
      <c r="F954" s="411"/>
      <c r="G954" s="408"/>
      <c r="H954" s="52"/>
      <c r="J954" s="54"/>
      <c r="M954" s="412"/>
    </row>
    <row r="955" ht="15.75" customHeight="1">
      <c r="A955" s="408"/>
      <c r="B955" s="408"/>
      <c r="C955" s="409"/>
      <c r="D955" s="410"/>
      <c r="E955" s="276"/>
      <c r="F955" s="411"/>
      <c r="G955" s="408"/>
      <c r="H955" s="52"/>
      <c r="J955" s="54"/>
      <c r="M955" s="412"/>
    </row>
    <row r="956" ht="15.75" customHeight="1">
      <c r="A956" s="408"/>
      <c r="B956" s="408"/>
      <c r="C956" s="409"/>
      <c r="D956" s="410"/>
      <c r="E956" s="276"/>
      <c r="F956" s="411"/>
      <c r="G956" s="408"/>
      <c r="H956" s="52"/>
      <c r="J956" s="54"/>
      <c r="M956" s="412"/>
    </row>
    <row r="957" ht="15.75" customHeight="1">
      <c r="A957" s="408"/>
      <c r="B957" s="408"/>
      <c r="C957" s="409"/>
      <c r="D957" s="410"/>
      <c r="E957" s="276"/>
      <c r="F957" s="411"/>
      <c r="G957" s="408"/>
      <c r="H957" s="52"/>
      <c r="J957" s="54"/>
      <c r="M957" s="412"/>
    </row>
    <row r="958" ht="15.75" customHeight="1">
      <c r="A958" s="408"/>
      <c r="B958" s="408"/>
      <c r="C958" s="409"/>
      <c r="D958" s="410"/>
      <c r="E958" s="276"/>
      <c r="F958" s="411"/>
      <c r="G958" s="408"/>
      <c r="H958" s="52"/>
      <c r="J958" s="54"/>
      <c r="M958" s="412"/>
    </row>
    <row r="959" ht="15.75" customHeight="1">
      <c r="A959" s="408"/>
      <c r="B959" s="408"/>
      <c r="C959" s="409"/>
      <c r="D959" s="410"/>
      <c r="E959" s="276"/>
      <c r="F959" s="411"/>
      <c r="G959" s="408"/>
      <c r="H959" s="52"/>
      <c r="J959" s="54"/>
      <c r="M959" s="412"/>
    </row>
    <row r="960" ht="15.75" customHeight="1">
      <c r="A960" s="408"/>
      <c r="B960" s="408"/>
      <c r="C960" s="409"/>
      <c r="D960" s="410"/>
      <c r="E960" s="276"/>
      <c r="F960" s="411"/>
      <c r="G960" s="408"/>
      <c r="H960" s="52"/>
      <c r="J960" s="54"/>
      <c r="M960" s="412"/>
    </row>
    <row r="961" ht="15.75" customHeight="1">
      <c r="A961" s="408"/>
      <c r="B961" s="408"/>
      <c r="C961" s="409"/>
      <c r="D961" s="410"/>
      <c r="E961" s="276"/>
      <c r="F961" s="411"/>
      <c r="G961" s="408"/>
      <c r="H961" s="52"/>
      <c r="J961" s="54"/>
      <c r="M961" s="412"/>
    </row>
    <row r="962" ht="15.75" customHeight="1">
      <c r="A962" s="408"/>
      <c r="B962" s="408"/>
      <c r="C962" s="409"/>
      <c r="D962" s="410"/>
      <c r="E962" s="276"/>
      <c r="F962" s="411"/>
      <c r="G962" s="408"/>
      <c r="H962" s="52"/>
      <c r="J962" s="54"/>
      <c r="M962" s="412"/>
    </row>
    <row r="963" ht="15.75" customHeight="1">
      <c r="A963" s="408"/>
      <c r="B963" s="408"/>
      <c r="C963" s="409"/>
      <c r="D963" s="410"/>
      <c r="E963" s="276"/>
      <c r="F963" s="411"/>
      <c r="G963" s="408"/>
      <c r="H963" s="52"/>
      <c r="J963" s="54"/>
      <c r="M963" s="412"/>
    </row>
    <row r="964" ht="15.75" customHeight="1">
      <c r="A964" s="408"/>
      <c r="B964" s="408"/>
      <c r="C964" s="409"/>
      <c r="D964" s="410"/>
      <c r="E964" s="276"/>
      <c r="F964" s="411"/>
      <c r="G964" s="408"/>
      <c r="H964" s="52"/>
      <c r="J964" s="54"/>
      <c r="M964" s="412"/>
    </row>
    <row r="965" ht="15.75" customHeight="1">
      <c r="A965" s="408"/>
      <c r="B965" s="408"/>
      <c r="C965" s="409"/>
      <c r="D965" s="410"/>
      <c r="E965" s="276"/>
      <c r="F965" s="411"/>
      <c r="G965" s="408"/>
      <c r="H965" s="52"/>
      <c r="J965" s="54"/>
      <c r="M965" s="412"/>
    </row>
    <row r="966" ht="15.75" customHeight="1">
      <c r="A966" s="408"/>
      <c r="B966" s="408"/>
      <c r="C966" s="409"/>
      <c r="D966" s="410"/>
      <c r="E966" s="276"/>
      <c r="F966" s="411"/>
      <c r="G966" s="408"/>
      <c r="H966" s="52"/>
      <c r="J966" s="54"/>
      <c r="M966" s="412"/>
    </row>
    <row r="967" ht="15.75" customHeight="1">
      <c r="A967" s="408"/>
      <c r="B967" s="408"/>
      <c r="C967" s="409"/>
      <c r="D967" s="410"/>
      <c r="E967" s="276"/>
      <c r="F967" s="411"/>
      <c r="G967" s="408"/>
      <c r="H967" s="52"/>
      <c r="J967" s="54"/>
      <c r="M967" s="412"/>
    </row>
    <row r="968" ht="15.75" customHeight="1">
      <c r="A968" s="408"/>
      <c r="B968" s="408"/>
      <c r="C968" s="409"/>
      <c r="D968" s="410"/>
      <c r="E968" s="276"/>
      <c r="F968" s="411"/>
      <c r="G968" s="408"/>
      <c r="H968" s="52"/>
      <c r="J968" s="54"/>
      <c r="M968" s="412"/>
    </row>
    <row r="969" ht="15.75" customHeight="1">
      <c r="A969" s="408"/>
      <c r="B969" s="408"/>
      <c r="C969" s="409"/>
      <c r="D969" s="410"/>
      <c r="E969" s="276"/>
      <c r="F969" s="411"/>
      <c r="G969" s="408"/>
      <c r="H969" s="52"/>
      <c r="J969" s="54"/>
      <c r="M969" s="412"/>
    </row>
    <row r="970" ht="15.75" customHeight="1">
      <c r="A970" s="408"/>
      <c r="B970" s="408"/>
      <c r="C970" s="409"/>
      <c r="D970" s="410"/>
      <c r="E970" s="276"/>
      <c r="F970" s="411"/>
      <c r="G970" s="408"/>
      <c r="H970" s="52"/>
      <c r="J970" s="54"/>
      <c r="M970" s="412"/>
    </row>
    <row r="971" ht="15.75" customHeight="1">
      <c r="A971" s="408"/>
      <c r="B971" s="408"/>
      <c r="C971" s="409"/>
      <c r="D971" s="410"/>
      <c r="E971" s="276"/>
      <c r="F971" s="411"/>
      <c r="G971" s="408"/>
      <c r="H971" s="52"/>
      <c r="J971" s="54"/>
      <c r="M971" s="412"/>
    </row>
    <row r="972" ht="15.75" customHeight="1">
      <c r="A972" s="408"/>
      <c r="B972" s="408"/>
      <c r="C972" s="409"/>
      <c r="D972" s="410"/>
      <c r="E972" s="276"/>
      <c r="F972" s="411"/>
      <c r="G972" s="408"/>
      <c r="H972" s="52"/>
      <c r="J972" s="54"/>
      <c r="M972" s="412"/>
    </row>
    <row r="973" ht="15.75" customHeight="1">
      <c r="A973" s="408"/>
      <c r="B973" s="408"/>
      <c r="C973" s="409"/>
      <c r="D973" s="410"/>
      <c r="E973" s="276"/>
      <c r="F973" s="411"/>
      <c r="G973" s="408"/>
      <c r="H973" s="52"/>
      <c r="J973" s="54"/>
      <c r="M973" s="412"/>
    </row>
    <row r="974" ht="15.75" customHeight="1">
      <c r="A974" s="408"/>
      <c r="B974" s="408"/>
      <c r="C974" s="409"/>
      <c r="D974" s="410"/>
      <c r="E974" s="276"/>
      <c r="F974" s="411"/>
      <c r="G974" s="408"/>
      <c r="H974" s="52"/>
      <c r="J974" s="54"/>
      <c r="M974" s="412"/>
    </row>
    <row r="975" ht="15.75" customHeight="1">
      <c r="A975" s="408"/>
      <c r="B975" s="408"/>
      <c r="C975" s="409"/>
      <c r="D975" s="410"/>
      <c r="E975" s="276"/>
      <c r="F975" s="411"/>
      <c r="G975" s="408"/>
      <c r="H975" s="52"/>
      <c r="J975" s="54"/>
      <c r="M975" s="412"/>
    </row>
    <row r="976" ht="15.75" customHeight="1">
      <c r="A976" s="408"/>
      <c r="B976" s="408"/>
      <c r="C976" s="409"/>
      <c r="D976" s="410"/>
      <c r="E976" s="276"/>
      <c r="F976" s="411"/>
      <c r="G976" s="408"/>
      <c r="H976" s="52"/>
      <c r="J976" s="54"/>
      <c r="M976" s="412"/>
    </row>
    <row r="977" ht="15.75" customHeight="1">
      <c r="A977" s="408"/>
      <c r="B977" s="408"/>
      <c r="C977" s="409"/>
      <c r="D977" s="410"/>
      <c r="E977" s="276"/>
      <c r="F977" s="411"/>
      <c r="G977" s="408"/>
      <c r="H977" s="52"/>
      <c r="J977" s="54"/>
      <c r="M977" s="412"/>
    </row>
    <row r="978" ht="15.75" customHeight="1">
      <c r="A978" s="408"/>
      <c r="B978" s="408"/>
      <c r="C978" s="409"/>
      <c r="D978" s="410"/>
      <c r="E978" s="276"/>
      <c r="F978" s="411"/>
      <c r="G978" s="408"/>
      <c r="H978" s="52"/>
      <c r="J978" s="54"/>
      <c r="M978" s="412"/>
    </row>
    <row r="979" ht="15.75" customHeight="1">
      <c r="A979" s="408"/>
      <c r="B979" s="408"/>
      <c r="C979" s="409"/>
      <c r="D979" s="410"/>
      <c r="E979" s="276"/>
      <c r="F979" s="411"/>
      <c r="G979" s="408"/>
      <c r="H979" s="52"/>
      <c r="J979" s="54"/>
      <c r="M979" s="412"/>
    </row>
    <row r="980" ht="15.75" customHeight="1">
      <c r="A980" s="408"/>
      <c r="B980" s="408"/>
      <c r="C980" s="409"/>
      <c r="D980" s="410"/>
      <c r="E980" s="276"/>
      <c r="F980" s="411"/>
      <c r="G980" s="408"/>
      <c r="H980" s="52"/>
      <c r="J980" s="54"/>
      <c r="M980" s="412"/>
    </row>
    <row r="981" ht="15.75" customHeight="1">
      <c r="A981" s="408"/>
      <c r="B981" s="408"/>
      <c r="C981" s="409"/>
      <c r="D981" s="410"/>
      <c r="E981" s="276"/>
      <c r="F981" s="411"/>
      <c r="G981" s="408"/>
      <c r="H981" s="52"/>
      <c r="J981" s="54"/>
      <c r="M981" s="412"/>
    </row>
    <row r="982" ht="15.75" customHeight="1">
      <c r="A982" s="408"/>
      <c r="B982" s="408"/>
      <c r="C982" s="409"/>
      <c r="D982" s="410"/>
      <c r="E982" s="276"/>
      <c r="F982" s="411"/>
      <c r="G982" s="408"/>
      <c r="H982" s="52"/>
      <c r="J982" s="54"/>
      <c r="M982" s="412"/>
    </row>
    <row r="983" ht="15.75" customHeight="1">
      <c r="A983" s="408"/>
      <c r="B983" s="408"/>
      <c r="C983" s="409"/>
      <c r="D983" s="410"/>
      <c r="E983" s="276"/>
      <c r="F983" s="411"/>
      <c r="G983" s="408"/>
      <c r="H983" s="52"/>
      <c r="J983" s="54"/>
      <c r="M983" s="412"/>
    </row>
    <row r="984" ht="15.75" customHeight="1">
      <c r="A984" s="408"/>
      <c r="B984" s="408"/>
      <c r="C984" s="409"/>
      <c r="D984" s="410"/>
      <c r="E984" s="276"/>
      <c r="F984" s="411"/>
      <c r="G984" s="408"/>
      <c r="H984" s="52"/>
      <c r="J984" s="54"/>
      <c r="M984" s="412"/>
    </row>
    <row r="985" ht="15.75" customHeight="1">
      <c r="A985" s="408"/>
      <c r="B985" s="408"/>
      <c r="C985" s="409"/>
      <c r="D985" s="410"/>
      <c r="E985" s="276"/>
      <c r="F985" s="411"/>
      <c r="G985" s="408"/>
      <c r="H985" s="52"/>
      <c r="J985" s="54"/>
      <c r="M985" s="412"/>
    </row>
    <row r="986" ht="15.75" customHeight="1">
      <c r="A986" s="408"/>
      <c r="B986" s="408"/>
      <c r="C986" s="409"/>
      <c r="D986" s="410"/>
      <c r="E986" s="276"/>
      <c r="F986" s="411"/>
      <c r="G986" s="408"/>
      <c r="H986" s="52"/>
      <c r="J986" s="54"/>
      <c r="M986" s="412"/>
    </row>
    <row r="987" ht="15.75" customHeight="1">
      <c r="A987" s="408"/>
      <c r="B987" s="408"/>
      <c r="C987" s="409"/>
      <c r="D987" s="410"/>
      <c r="E987" s="276"/>
      <c r="F987" s="411"/>
      <c r="G987" s="408"/>
      <c r="H987" s="52"/>
      <c r="J987" s="54"/>
      <c r="M987" s="412"/>
    </row>
    <row r="988" ht="15.75" customHeight="1">
      <c r="A988" s="408"/>
      <c r="B988" s="408"/>
      <c r="C988" s="409"/>
      <c r="D988" s="410"/>
      <c r="E988" s="276"/>
      <c r="F988" s="411"/>
      <c r="G988" s="408"/>
      <c r="H988" s="52"/>
      <c r="J988" s="54"/>
      <c r="M988" s="412"/>
    </row>
    <row r="989" ht="15.75" customHeight="1">
      <c r="A989" s="408"/>
      <c r="B989" s="408"/>
      <c r="C989" s="409"/>
      <c r="D989" s="410"/>
      <c r="E989" s="276"/>
      <c r="F989" s="411"/>
      <c r="G989" s="408"/>
      <c r="H989" s="52"/>
      <c r="J989" s="54"/>
      <c r="M989" s="412"/>
    </row>
    <row r="990" ht="15.75" customHeight="1">
      <c r="A990" s="408"/>
      <c r="B990" s="408"/>
      <c r="C990" s="409"/>
      <c r="D990" s="410"/>
      <c r="E990" s="276"/>
      <c r="F990" s="411"/>
      <c r="G990" s="408"/>
      <c r="H990" s="52"/>
      <c r="J990" s="54"/>
      <c r="M990" s="412"/>
    </row>
    <row r="991" ht="15.75" customHeight="1">
      <c r="A991" s="408"/>
      <c r="B991" s="408"/>
      <c r="C991" s="409"/>
      <c r="D991" s="410"/>
      <c r="E991" s="276"/>
      <c r="F991" s="411"/>
      <c r="G991" s="408"/>
      <c r="H991" s="52"/>
      <c r="J991" s="54"/>
      <c r="M991" s="412"/>
    </row>
    <row r="992" ht="15.75" customHeight="1">
      <c r="A992" s="408"/>
      <c r="B992" s="408"/>
      <c r="C992" s="409"/>
      <c r="D992" s="410"/>
      <c r="E992" s="276"/>
      <c r="F992" s="411"/>
      <c r="G992" s="408"/>
      <c r="H992" s="52"/>
      <c r="J992" s="54"/>
      <c r="M992" s="412"/>
    </row>
    <row r="993" ht="15.75" customHeight="1">
      <c r="A993" s="408"/>
      <c r="B993" s="408"/>
      <c r="C993" s="409"/>
      <c r="D993" s="410"/>
      <c r="E993" s="276"/>
      <c r="F993" s="411"/>
      <c r="G993" s="408"/>
      <c r="H993" s="52"/>
      <c r="J993" s="54"/>
      <c r="M993" s="412"/>
    </row>
    <row r="994" ht="15.75" customHeight="1">
      <c r="A994" s="408"/>
      <c r="B994" s="408"/>
      <c r="C994" s="409"/>
      <c r="D994" s="410"/>
      <c r="E994" s="276"/>
      <c r="F994" s="411"/>
      <c r="G994" s="408"/>
      <c r="H994" s="52"/>
      <c r="J994" s="54"/>
      <c r="M994" s="412"/>
    </row>
    <row r="995" ht="15.75" customHeight="1">
      <c r="A995" s="408"/>
      <c r="B995" s="408"/>
      <c r="C995" s="409"/>
      <c r="D995" s="410"/>
      <c r="E995" s="276"/>
      <c r="F995" s="411"/>
      <c r="G995" s="408"/>
      <c r="H995" s="52"/>
      <c r="J995" s="54"/>
      <c r="M995" s="412"/>
    </row>
    <row r="996" ht="15.75" customHeight="1">
      <c r="A996" s="408"/>
      <c r="B996" s="408"/>
      <c r="C996" s="409"/>
      <c r="D996" s="410"/>
      <c r="E996" s="276"/>
      <c r="F996" s="411"/>
      <c r="G996" s="408"/>
      <c r="H996" s="52"/>
      <c r="J996" s="54"/>
      <c r="M996" s="412"/>
    </row>
    <row r="997" ht="15.75" customHeight="1">
      <c r="A997" s="408"/>
      <c r="B997" s="408"/>
      <c r="C997" s="409"/>
      <c r="D997" s="410"/>
      <c r="E997" s="276"/>
      <c r="F997" s="411"/>
      <c r="G997" s="408"/>
      <c r="H997" s="52"/>
      <c r="J997" s="54"/>
      <c r="M997" s="412"/>
    </row>
    <row r="998" ht="15.75" customHeight="1">
      <c r="A998" s="408"/>
      <c r="B998" s="408"/>
      <c r="C998" s="409"/>
      <c r="D998" s="410"/>
      <c r="E998" s="276"/>
      <c r="F998" s="411"/>
      <c r="G998" s="408"/>
      <c r="H998" s="52"/>
      <c r="J998" s="54"/>
      <c r="M998" s="412"/>
    </row>
    <row r="999" ht="15.75" customHeight="1">
      <c r="A999" s="408"/>
      <c r="B999" s="408"/>
      <c r="C999" s="409"/>
      <c r="D999" s="410"/>
      <c r="E999" s="276"/>
      <c r="F999" s="411"/>
      <c r="G999" s="408"/>
      <c r="H999" s="52"/>
      <c r="J999" s="54"/>
      <c r="M999" s="412"/>
    </row>
    <row r="1000" ht="15.75" customHeight="1">
      <c r="A1000" s="408"/>
      <c r="B1000" s="408"/>
      <c r="C1000" s="409"/>
      <c r="D1000" s="410"/>
      <c r="E1000" s="276"/>
      <c r="F1000" s="411"/>
      <c r="G1000" s="408"/>
      <c r="H1000" s="52"/>
      <c r="J1000" s="54"/>
      <c r="M1000" s="412"/>
    </row>
    <row r="1001" ht="15.75" customHeight="1">
      <c r="A1001" s="408"/>
      <c r="B1001" s="408"/>
      <c r="C1001" s="409"/>
      <c r="D1001" s="410"/>
      <c r="E1001" s="276"/>
      <c r="F1001" s="411"/>
      <c r="G1001" s="408"/>
      <c r="H1001" s="52"/>
      <c r="J1001" s="54"/>
      <c r="M1001" s="412"/>
    </row>
    <row r="1002" ht="15.75" customHeight="1">
      <c r="A1002" s="408"/>
      <c r="B1002" s="408"/>
      <c r="C1002" s="409"/>
      <c r="D1002" s="410"/>
      <c r="E1002" s="276"/>
      <c r="F1002" s="411"/>
      <c r="G1002" s="408"/>
      <c r="H1002" s="52"/>
      <c r="J1002" s="54"/>
      <c r="M1002" s="412"/>
    </row>
    <row r="1003" ht="15.75" customHeight="1">
      <c r="A1003" s="408"/>
      <c r="B1003" s="408"/>
      <c r="C1003" s="409"/>
      <c r="D1003" s="410"/>
      <c r="E1003" s="276"/>
      <c r="F1003" s="411"/>
      <c r="G1003" s="408"/>
      <c r="H1003" s="52"/>
      <c r="J1003" s="54"/>
      <c r="M1003" s="412"/>
    </row>
    <row r="1004" ht="15.75" customHeight="1">
      <c r="A1004" s="408"/>
      <c r="B1004" s="408"/>
      <c r="C1004" s="409"/>
      <c r="D1004" s="410"/>
      <c r="E1004" s="276"/>
      <c r="F1004" s="411"/>
      <c r="G1004" s="408"/>
      <c r="H1004" s="52"/>
      <c r="J1004" s="54"/>
      <c r="M1004" s="412"/>
    </row>
    <row r="1005" ht="15.75" customHeight="1">
      <c r="A1005" s="408"/>
      <c r="B1005" s="408"/>
      <c r="C1005" s="409"/>
      <c r="D1005" s="410"/>
      <c r="E1005" s="276"/>
      <c r="F1005" s="411"/>
      <c r="G1005" s="408"/>
      <c r="H1005" s="52"/>
      <c r="J1005" s="54"/>
      <c r="M1005" s="412"/>
    </row>
    <row r="1006" ht="15.75" customHeight="1">
      <c r="A1006" s="408"/>
      <c r="B1006" s="408"/>
      <c r="C1006" s="409"/>
      <c r="D1006" s="410"/>
      <c r="E1006" s="276"/>
      <c r="F1006" s="411"/>
      <c r="G1006" s="408"/>
      <c r="H1006" s="52"/>
      <c r="J1006" s="54"/>
      <c r="M1006" s="412"/>
    </row>
    <row r="1007" ht="15.75" customHeight="1">
      <c r="A1007" s="408"/>
      <c r="B1007" s="408"/>
      <c r="C1007" s="409"/>
      <c r="D1007" s="410"/>
      <c r="E1007" s="276"/>
      <c r="F1007" s="411"/>
      <c r="G1007" s="408"/>
      <c r="H1007" s="52"/>
      <c r="J1007" s="54"/>
      <c r="M1007" s="412"/>
    </row>
    <row r="1008" ht="15.75" customHeight="1">
      <c r="A1008" s="408"/>
      <c r="B1008" s="408"/>
      <c r="C1008" s="409"/>
      <c r="D1008" s="410"/>
      <c r="E1008" s="276"/>
      <c r="F1008" s="411"/>
      <c r="G1008" s="408"/>
      <c r="H1008" s="52"/>
      <c r="J1008" s="54"/>
      <c r="M1008" s="412"/>
    </row>
    <row r="1009" ht="15.75" customHeight="1">
      <c r="A1009" s="408"/>
      <c r="B1009" s="408"/>
      <c r="C1009" s="409"/>
      <c r="D1009" s="410"/>
      <c r="E1009" s="276"/>
      <c r="F1009" s="411"/>
      <c r="G1009" s="408"/>
      <c r="H1009" s="52"/>
      <c r="J1009" s="54"/>
      <c r="M1009" s="412"/>
    </row>
    <row r="1010" ht="15.75" customHeight="1">
      <c r="A1010" s="408"/>
      <c r="B1010" s="408"/>
      <c r="C1010" s="409"/>
      <c r="D1010" s="410"/>
      <c r="E1010" s="276"/>
      <c r="F1010" s="411"/>
      <c r="G1010" s="408"/>
      <c r="H1010" s="52"/>
      <c r="J1010" s="54"/>
      <c r="M1010" s="412"/>
    </row>
    <row r="1011" ht="15.75" customHeight="1">
      <c r="A1011" s="408"/>
      <c r="B1011" s="408"/>
      <c r="C1011" s="409"/>
      <c r="D1011" s="410"/>
      <c r="E1011" s="276"/>
      <c r="F1011" s="411"/>
      <c r="G1011" s="408"/>
      <c r="H1011" s="52"/>
      <c r="J1011" s="54"/>
      <c r="M1011" s="412"/>
    </row>
    <row r="1012" ht="15.75" customHeight="1">
      <c r="A1012" s="408"/>
      <c r="B1012" s="408"/>
      <c r="C1012" s="409"/>
      <c r="D1012" s="410"/>
      <c r="E1012" s="276"/>
      <c r="F1012" s="411"/>
      <c r="G1012" s="408"/>
      <c r="H1012" s="52"/>
      <c r="J1012" s="54"/>
      <c r="M1012" s="412"/>
    </row>
    <row r="1013" ht="15.75" customHeight="1">
      <c r="A1013" s="408"/>
      <c r="B1013" s="408"/>
      <c r="C1013" s="409"/>
      <c r="D1013" s="410"/>
      <c r="E1013" s="276"/>
      <c r="F1013" s="411"/>
      <c r="G1013" s="408"/>
      <c r="H1013" s="52"/>
      <c r="J1013" s="54"/>
      <c r="M1013" s="412"/>
    </row>
    <row r="1014" ht="15.75" customHeight="1">
      <c r="A1014" s="408"/>
      <c r="B1014" s="408"/>
      <c r="C1014" s="409"/>
      <c r="D1014" s="410"/>
      <c r="E1014" s="276"/>
      <c r="F1014" s="411"/>
      <c r="G1014" s="408"/>
      <c r="H1014" s="52"/>
      <c r="J1014" s="54"/>
      <c r="M1014" s="412"/>
    </row>
    <row r="1015" ht="15.75" customHeight="1">
      <c r="A1015" s="408"/>
      <c r="B1015" s="408"/>
      <c r="C1015" s="409"/>
      <c r="D1015" s="410"/>
      <c r="E1015" s="276"/>
      <c r="F1015" s="411"/>
      <c r="G1015" s="408"/>
      <c r="H1015" s="52"/>
      <c r="J1015" s="54"/>
      <c r="M1015" s="412"/>
    </row>
    <row r="1016" ht="15.75" customHeight="1">
      <c r="A1016" s="408"/>
      <c r="B1016" s="408"/>
      <c r="C1016" s="409"/>
      <c r="D1016" s="410"/>
      <c r="E1016" s="276"/>
      <c r="F1016" s="411"/>
      <c r="G1016" s="408"/>
      <c r="H1016" s="52"/>
      <c r="J1016" s="54"/>
      <c r="M1016" s="412"/>
    </row>
    <row r="1017" ht="15.75" customHeight="1">
      <c r="A1017" s="408"/>
      <c r="B1017" s="408"/>
      <c r="C1017" s="409"/>
      <c r="D1017" s="410"/>
      <c r="E1017" s="276"/>
      <c r="F1017" s="411"/>
      <c r="G1017" s="408"/>
      <c r="H1017" s="52"/>
      <c r="J1017" s="54"/>
      <c r="M1017" s="412"/>
    </row>
    <row r="1018" ht="15.75" customHeight="1">
      <c r="A1018" s="408"/>
      <c r="B1018" s="408"/>
      <c r="C1018" s="409"/>
      <c r="D1018" s="410"/>
      <c r="E1018" s="276"/>
      <c r="F1018" s="411"/>
      <c r="G1018" s="408"/>
      <c r="H1018" s="52"/>
      <c r="J1018" s="54"/>
      <c r="M1018" s="412"/>
    </row>
    <row r="1019" ht="15.75" customHeight="1">
      <c r="A1019" s="408"/>
      <c r="B1019" s="408"/>
      <c r="C1019" s="409"/>
      <c r="D1019" s="410"/>
      <c r="E1019" s="276"/>
      <c r="F1019" s="411"/>
      <c r="G1019" s="408"/>
      <c r="H1019" s="52"/>
      <c r="J1019" s="54"/>
      <c r="M1019" s="412"/>
    </row>
    <row r="1020" ht="15.75" customHeight="1">
      <c r="A1020" s="408"/>
      <c r="B1020" s="408"/>
      <c r="C1020" s="409"/>
      <c r="D1020" s="410"/>
      <c r="E1020" s="276"/>
      <c r="F1020" s="411"/>
      <c r="G1020" s="408"/>
      <c r="H1020" s="52"/>
      <c r="J1020" s="54"/>
      <c r="M1020" s="412"/>
    </row>
    <row r="1021" ht="15.75" customHeight="1">
      <c r="A1021" s="408"/>
      <c r="B1021" s="408"/>
      <c r="C1021" s="409"/>
      <c r="D1021" s="410"/>
      <c r="E1021" s="276"/>
      <c r="F1021" s="411"/>
      <c r="G1021" s="408"/>
      <c r="H1021" s="52"/>
      <c r="J1021" s="54"/>
      <c r="M1021" s="412"/>
    </row>
    <row r="1022" ht="15.75" customHeight="1">
      <c r="A1022" s="408"/>
      <c r="B1022" s="408"/>
      <c r="C1022" s="409"/>
      <c r="D1022" s="410"/>
      <c r="E1022" s="276"/>
      <c r="F1022" s="411"/>
      <c r="G1022" s="408"/>
      <c r="H1022" s="52"/>
      <c r="J1022" s="54"/>
      <c r="M1022" s="412"/>
    </row>
    <row r="1023" ht="15.75" customHeight="1">
      <c r="A1023" s="408"/>
      <c r="B1023" s="408"/>
      <c r="C1023" s="409"/>
      <c r="D1023" s="410"/>
      <c r="E1023" s="276"/>
      <c r="F1023" s="411"/>
      <c r="G1023" s="408"/>
      <c r="H1023" s="52"/>
      <c r="J1023" s="54"/>
      <c r="M1023" s="412"/>
    </row>
    <row r="1024" ht="15.75" customHeight="1">
      <c r="A1024" s="408"/>
      <c r="B1024" s="408"/>
      <c r="C1024" s="409"/>
      <c r="D1024" s="410"/>
      <c r="E1024" s="276"/>
      <c r="F1024" s="411"/>
      <c r="G1024" s="408"/>
      <c r="H1024" s="52"/>
      <c r="J1024" s="54"/>
      <c r="M1024" s="412"/>
    </row>
    <row r="1025" ht="15.75" customHeight="1">
      <c r="A1025" s="408"/>
      <c r="B1025" s="408"/>
      <c r="C1025" s="409"/>
      <c r="D1025" s="410"/>
      <c r="E1025" s="276"/>
      <c r="F1025" s="411"/>
      <c r="G1025" s="408"/>
      <c r="H1025" s="52"/>
      <c r="J1025" s="54"/>
      <c r="M1025" s="412"/>
    </row>
    <row r="1026" ht="15.75" customHeight="1">
      <c r="A1026" s="408"/>
      <c r="B1026" s="408"/>
      <c r="C1026" s="409"/>
      <c r="D1026" s="410"/>
      <c r="E1026" s="276"/>
      <c r="F1026" s="411"/>
      <c r="G1026" s="408"/>
      <c r="H1026" s="52"/>
      <c r="J1026" s="54"/>
      <c r="M1026" s="412"/>
    </row>
    <row r="1027" ht="15.75" customHeight="1">
      <c r="A1027" s="408"/>
      <c r="B1027" s="408"/>
      <c r="C1027" s="409"/>
      <c r="D1027" s="410"/>
      <c r="E1027" s="276"/>
      <c r="F1027" s="411"/>
      <c r="G1027" s="408"/>
      <c r="H1027" s="52"/>
      <c r="J1027" s="54"/>
      <c r="M1027" s="412"/>
    </row>
    <row r="1028" ht="15.75" customHeight="1">
      <c r="A1028" s="408"/>
      <c r="B1028" s="408"/>
      <c r="C1028" s="409"/>
      <c r="D1028" s="410"/>
      <c r="E1028" s="276"/>
      <c r="F1028" s="411"/>
      <c r="G1028" s="408"/>
      <c r="H1028" s="52"/>
      <c r="J1028" s="54"/>
      <c r="M1028" s="412"/>
    </row>
    <row r="1029" ht="15.75" customHeight="1">
      <c r="A1029" s="408"/>
      <c r="B1029" s="408"/>
      <c r="C1029" s="409"/>
      <c r="D1029" s="410"/>
      <c r="E1029" s="276"/>
      <c r="F1029" s="411"/>
      <c r="G1029" s="408"/>
      <c r="H1029" s="52"/>
      <c r="J1029" s="54"/>
      <c r="M1029" s="412"/>
    </row>
    <row r="1030" ht="15.75" customHeight="1">
      <c r="A1030" s="408"/>
      <c r="B1030" s="408"/>
      <c r="C1030" s="409"/>
      <c r="D1030" s="410"/>
      <c r="E1030" s="276"/>
      <c r="F1030" s="411"/>
      <c r="G1030" s="408"/>
      <c r="H1030" s="52"/>
      <c r="J1030" s="54"/>
      <c r="M1030" s="412"/>
    </row>
    <row r="1031" ht="15.75" customHeight="1">
      <c r="A1031" s="408"/>
      <c r="B1031" s="408"/>
      <c r="C1031" s="409"/>
      <c r="D1031" s="410"/>
      <c r="E1031" s="276"/>
      <c r="F1031" s="411"/>
      <c r="G1031" s="408"/>
      <c r="H1031" s="52"/>
      <c r="J1031" s="54"/>
      <c r="M1031" s="412"/>
    </row>
    <row r="1032" ht="15.75" customHeight="1">
      <c r="A1032" s="408"/>
      <c r="B1032" s="408"/>
      <c r="C1032" s="409"/>
      <c r="D1032" s="410"/>
      <c r="E1032" s="276"/>
      <c r="F1032" s="411"/>
      <c r="G1032" s="408"/>
      <c r="H1032" s="52"/>
      <c r="J1032" s="54"/>
      <c r="M1032" s="412"/>
    </row>
    <row r="1033" ht="15.75" customHeight="1">
      <c r="A1033" s="408"/>
      <c r="B1033" s="408"/>
      <c r="C1033" s="409"/>
      <c r="D1033" s="410"/>
      <c r="E1033" s="276"/>
      <c r="F1033" s="411"/>
      <c r="G1033" s="408"/>
      <c r="H1033" s="52"/>
      <c r="J1033" s="54"/>
      <c r="M1033" s="412"/>
    </row>
    <row r="1034" ht="15.75" customHeight="1">
      <c r="A1034" s="408"/>
      <c r="B1034" s="408"/>
      <c r="C1034" s="409"/>
      <c r="D1034" s="410"/>
      <c r="E1034" s="276"/>
      <c r="F1034" s="411"/>
      <c r="G1034" s="408"/>
      <c r="H1034" s="52"/>
      <c r="J1034" s="54"/>
      <c r="M1034" s="412"/>
    </row>
    <row r="1035" ht="15.75" customHeight="1">
      <c r="A1035" s="408"/>
      <c r="B1035" s="408"/>
      <c r="C1035" s="409"/>
      <c r="D1035" s="410"/>
      <c r="E1035" s="276"/>
      <c r="F1035" s="411"/>
      <c r="G1035" s="408"/>
      <c r="H1035" s="52"/>
      <c r="J1035" s="54"/>
      <c r="M1035" s="412"/>
    </row>
    <row r="1036" ht="15.75" customHeight="1">
      <c r="A1036" s="408"/>
      <c r="B1036" s="408"/>
      <c r="C1036" s="409"/>
      <c r="D1036" s="410"/>
      <c r="E1036" s="276"/>
      <c r="F1036" s="411"/>
      <c r="G1036" s="408"/>
      <c r="H1036" s="52"/>
      <c r="J1036" s="54"/>
      <c r="M1036" s="412"/>
    </row>
    <row r="1037" ht="15.75" customHeight="1">
      <c r="A1037" s="408"/>
      <c r="B1037" s="408"/>
      <c r="C1037" s="409"/>
      <c r="D1037" s="410"/>
      <c r="E1037" s="276"/>
      <c r="F1037" s="411"/>
      <c r="G1037" s="408"/>
      <c r="H1037" s="52"/>
      <c r="J1037" s="54"/>
      <c r="M1037" s="412"/>
    </row>
  </sheetData>
  <mergeCells count="47">
    <mergeCell ref="A1:B1"/>
    <mergeCell ref="A2:B2"/>
    <mergeCell ref="A3:B3"/>
    <mergeCell ref="A4:B4"/>
    <mergeCell ref="A5:B5"/>
    <mergeCell ref="C5:G5"/>
    <mergeCell ref="D10:D36"/>
    <mergeCell ref="D38:D40"/>
    <mergeCell ref="D42:D56"/>
    <mergeCell ref="D58:D63"/>
    <mergeCell ref="D65:D69"/>
    <mergeCell ref="D71:D82"/>
    <mergeCell ref="D84:D89"/>
    <mergeCell ref="D91:D97"/>
    <mergeCell ref="D165:D173"/>
    <mergeCell ref="D177:D178"/>
    <mergeCell ref="D210:D220"/>
    <mergeCell ref="M210:M217"/>
    <mergeCell ref="K273:K275"/>
    <mergeCell ref="L273:L275"/>
    <mergeCell ref="K308:K309"/>
    <mergeCell ref="K312:K313"/>
    <mergeCell ref="D99:D104"/>
    <mergeCell ref="D106:D110"/>
    <mergeCell ref="D128:D129"/>
    <mergeCell ref="D131:D141"/>
    <mergeCell ref="D143:D152"/>
    <mergeCell ref="D154:D155"/>
    <mergeCell ref="D157:D163"/>
    <mergeCell ref="C317:C319"/>
    <mergeCell ref="B325:B354"/>
    <mergeCell ref="C325:C338"/>
    <mergeCell ref="C340:C343"/>
    <mergeCell ref="C345:C354"/>
    <mergeCell ref="E325:E332"/>
    <mergeCell ref="E335:E338"/>
    <mergeCell ref="E340:E341"/>
    <mergeCell ref="E342:E343"/>
    <mergeCell ref="E345:E350"/>
    <mergeCell ref="E351:E354"/>
    <mergeCell ref="D222:D230"/>
    <mergeCell ref="C282:C288"/>
    <mergeCell ref="E282:E284"/>
    <mergeCell ref="C289:C290"/>
    <mergeCell ref="C292:C296"/>
    <mergeCell ref="C312:C313"/>
    <mergeCell ref="C314:C315"/>
  </mergeCells>
  <conditionalFormatting sqref="K256:K261 K263:K264 K301 K315:K324 L28:L72 L83:L90 L96:L129 L131:L141 L143:L146 L148:L152 L154:L155 L157:L161 L163 L165:L422">
    <cfRule type="cellIs" dxfId="0" priority="1" operator="equal">
      <formula>"Passed"</formula>
    </cfRule>
  </conditionalFormatting>
  <conditionalFormatting sqref="K256:K261 K263:K264 K301 K315:K324 L28:L72 L83:L90 L96:L129 L131:L141 L143:L146 L148:L152 L154:L155 L157:L161 L163 L165:L422">
    <cfRule type="cellIs" dxfId="1" priority="2" operator="equal">
      <formula>"Failed"</formula>
    </cfRule>
  </conditionalFormatting>
  <conditionalFormatting sqref="K256:K261 K263:K264 K301 K315:K324 L28:L72 L83:L90 L96:L129 L131:L141 L143:L146 L148:L152 L154:L155 L157:L161 L163 L165:L422">
    <cfRule type="cellIs" dxfId="2" priority="3" operator="equal">
      <formula>"Not Executed"</formula>
    </cfRule>
  </conditionalFormatting>
  <conditionalFormatting sqref="K256:K261 K263:K264 K301 K315:K324 L28:L72 L83:L90 L96:L129 L131:L141 L143:L146 L148:L152 L154:L155 L157:L161 L163 L165:L422">
    <cfRule type="cellIs" dxfId="3" priority="4" operator="equal">
      <formula>"Out of Scope"</formula>
    </cfRule>
  </conditionalFormatting>
  <conditionalFormatting sqref="L162">
    <cfRule type="cellIs" dxfId="0" priority="5" operator="equal">
      <formula>"Passed"</formula>
    </cfRule>
  </conditionalFormatting>
  <conditionalFormatting sqref="L162">
    <cfRule type="cellIs" dxfId="1" priority="6" operator="equal">
      <formula>"Failed"</formula>
    </cfRule>
  </conditionalFormatting>
  <conditionalFormatting sqref="L162">
    <cfRule type="cellIs" dxfId="2" priority="7" operator="equal">
      <formula>"Not Executed"</formula>
    </cfRule>
  </conditionalFormatting>
  <conditionalFormatting sqref="L162">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
    <cfRule type="cellIs" dxfId="0" priority="13" operator="equal">
      <formula>"Passed"</formula>
    </cfRule>
  </conditionalFormatting>
  <conditionalFormatting sqref="L10">
    <cfRule type="cellIs" dxfId="1" priority="14" operator="equal">
      <formula>"Failed"</formula>
    </cfRule>
  </conditionalFormatting>
  <conditionalFormatting sqref="L10">
    <cfRule type="cellIs" dxfId="2" priority="15" operator="equal">
      <formula>"Not Executed"</formula>
    </cfRule>
  </conditionalFormatting>
  <conditionalFormatting sqref="L10">
    <cfRule type="cellIs" dxfId="3" priority="16" operator="equal">
      <formula>"Out of Scope"</formula>
    </cfRule>
  </conditionalFormatting>
  <conditionalFormatting sqref="L11">
    <cfRule type="cellIs" dxfId="0" priority="17" operator="equal">
      <formula>"Passed"</formula>
    </cfRule>
  </conditionalFormatting>
  <conditionalFormatting sqref="L11">
    <cfRule type="cellIs" dxfId="1" priority="18" operator="equal">
      <formula>"Failed"</formula>
    </cfRule>
  </conditionalFormatting>
  <conditionalFormatting sqref="L11">
    <cfRule type="cellIs" dxfId="2" priority="19" operator="equal">
      <formula>"Not Executed"</formula>
    </cfRule>
  </conditionalFormatting>
  <conditionalFormatting sqref="L11">
    <cfRule type="cellIs" dxfId="3" priority="20" operator="equal">
      <formula>"Out of Scope"</formula>
    </cfRule>
  </conditionalFormatting>
  <conditionalFormatting sqref="L15:L16">
    <cfRule type="cellIs" dxfId="0" priority="21" operator="equal">
      <formula>"Passed"</formula>
    </cfRule>
  </conditionalFormatting>
  <conditionalFormatting sqref="L15:L16">
    <cfRule type="cellIs" dxfId="1" priority="22" operator="equal">
      <formula>"Failed"</formula>
    </cfRule>
  </conditionalFormatting>
  <conditionalFormatting sqref="L15:L16">
    <cfRule type="cellIs" dxfId="2" priority="23" operator="equal">
      <formula>"Not Executed"</formula>
    </cfRule>
  </conditionalFormatting>
  <conditionalFormatting sqref="L15:L16">
    <cfRule type="cellIs" dxfId="3" priority="24" operator="equal">
      <formula>"Out of Scope"</formula>
    </cfRule>
  </conditionalFormatting>
  <conditionalFormatting sqref="L92">
    <cfRule type="cellIs" dxfId="0" priority="25" operator="equal">
      <formula>"Passed"</formula>
    </cfRule>
  </conditionalFormatting>
  <conditionalFormatting sqref="L92">
    <cfRule type="cellIs" dxfId="1" priority="26" operator="equal">
      <formula>"Failed"</formula>
    </cfRule>
  </conditionalFormatting>
  <conditionalFormatting sqref="L92">
    <cfRule type="cellIs" dxfId="2" priority="27" operator="equal">
      <formula>"Not Executed"</formula>
    </cfRule>
  </conditionalFormatting>
  <conditionalFormatting sqref="L92">
    <cfRule type="cellIs" dxfId="3" priority="28" operator="equal">
      <formula>"Out of Scope"</formula>
    </cfRule>
  </conditionalFormatting>
  <conditionalFormatting sqref="L94 L115">
    <cfRule type="cellIs" dxfId="0" priority="29" operator="equal">
      <formula>"Passed"</formula>
    </cfRule>
  </conditionalFormatting>
  <conditionalFormatting sqref="L93 L101:L114">
    <cfRule type="cellIs" dxfId="0" priority="30" operator="equal">
      <formula>"Passed"</formula>
    </cfRule>
  </conditionalFormatting>
  <conditionalFormatting sqref="L93 L101:L114">
    <cfRule type="cellIs" dxfId="1" priority="31" operator="equal">
      <formula>"Failed"</formula>
    </cfRule>
  </conditionalFormatting>
  <conditionalFormatting sqref="L93 L101:L114">
    <cfRule type="cellIs" dxfId="2" priority="32" operator="equal">
      <formula>"Not Executed"</formula>
    </cfRule>
  </conditionalFormatting>
  <conditionalFormatting sqref="L93 L101:L114">
    <cfRule type="cellIs" dxfId="3" priority="33" operator="equal">
      <formula>"Out of Scope"</formula>
    </cfRule>
  </conditionalFormatting>
  <conditionalFormatting sqref="L95 L116">
    <cfRule type="cellIs" dxfId="0" priority="34" operator="equal">
      <formula>"Passed"</formula>
    </cfRule>
  </conditionalFormatting>
  <conditionalFormatting sqref="L94 L115">
    <cfRule type="cellIs" dxfId="1" priority="35" operator="equal">
      <formula>"Failed"</formula>
    </cfRule>
  </conditionalFormatting>
  <conditionalFormatting sqref="L94 L115">
    <cfRule type="cellIs" dxfId="2" priority="36" operator="equal">
      <formula>"Not Executed"</formula>
    </cfRule>
  </conditionalFormatting>
  <conditionalFormatting sqref="L94 L115">
    <cfRule type="cellIs" dxfId="3" priority="37" operator="equal">
      <formula>"Out of Scope"</formula>
    </cfRule>
  </conditionalFormatting>
  <conditionalFormatting sqref="L95 L116">
    <cfRule type="cellIs" dxfId="1" priority="38" operator="equal">
      <formula>"Failed"</formula>
    </cfRule>
  </conditionalFormatting>
  <conditionalFormatting sqref="L95 L116">
    <cfRule type="cellIs" dxfId="2" priority="39" operator="equal">
      <formula>"Not Executed"</formula>
    </cfRule>
  </conditionalFormatting>
  <conditionalFormatting sqref="L95 L116">
    <cfRule type="cellIs" dxfId="3" priority="40" operator="equal">
      <formula>"Out of Scope"</formula>
    </cfRule>
  </conditionalFormatting>
  <conditionalFormatting sqref="L91">
    <cfRule type="cellIs" dxfId="0" priority="41" operator="equal">
      <formula>"Passed"</formula>
    </cfRule>
  </conditionalFormatting>
  <conditionalFormatting sqref="L91">
    <cfRule type="cellIs" dxfId="1" priority="42" operator="equal">
      <formula>"Failed"</formula>
    </cfRule>
  </conditionalFormatting>
  <conditionalFormatting sqref="L91">
    <cfRule type="cellIs" dxfId="2" priority="43" operator="equal">
      <formula>"Not Executed"</formula>
    </cfRule>
  </conditionalFormatting>
  <conditionalFormatting sqref="L91">
    <cfRule type="cellIs" dxfId="3" priority="44" operator="equal">
      <formula>"Out of Scope"</formula>
    </cfRule>
  </conditionalFormatting>
  <conditionalFormatting sqref="L12:L14">
    <cfRule type="cellIs" dxfId="0" priority="45" operator="equal">
      <formula>"Passed"</formula>
    </cfRule>
  </conditionalFormatting>
  <conditionalFormatting sqref="L12:L14">
    <cfRule type="cellIs" dxfId="1" priority="46" operator="equal">
      <formula>"Failed"</formula>
    </cfRule>
  </conditionalFormatting>
  <conditionalFormatting sqref="L12:L14">
    <cfRule type="cellIs" dxfId="2" priority="47" operator="equal">
      <formula>"Not Executed"</formula>
    </cfRule>
  </conditionalFormatting>
  <conditionalFormatting sqref="L12:L14">
    <cfRule type="cellIs" dxfId="3" priority="48" operator="equal">
      <formula>"Out of Scope"</formula>
    </cfRule>
  </conditionalFormatting>
  <conditionalFormatting sqref="L17:L27">
    <cfRule type="cellIs" dxfId="0" priority="49" operator="equal">
      <formula>"Passed"</formula>
    </cfRule>
  </conditionalFormatting>
  <conditionalFormatting sqref="L17:L27">
    <cfRule type="cellIs" dxfId="1" priority="50" operator="equal">
      <formula>"Failed"</formula>
    </cfRule>
  </conditionalFormatting>
  <conditionalFormatting sqref="L17:L27">
    <cfRule type="cellIs" dxfId="2" priority="51" operator="equal">
      <formula>"Not Executed"</formula>
    </cfRule>
  </conditionalFormatting>
  <conditionalFormatting sqref="L17:L27">
    <cfRule type="cellIs" dxfId="3" priority="52" operator="equal">
      <formula>"Out of Scope"</formula>
    </cfRule>
  </conditionalFormatting>
  <conditionalFormatting sqref="L73">
    <cfRule type="cellIs" dxfId="0" priority="53" operator="equal">
      <formula>"Passed"</formula>
    </cfRule>
  </conditionalFormatting>
  <conditionalFormatting sqref="L73">
    <cfRule type="cellIs" dxfId="1" priority="54" operator="equal">
      <formula>"Failed"</formula>
    </cfRule>
  </conditionalFormatting>
  <conditionalFormatting sqref="L73">
    <cfRule type="cellIs" dxfId="2" priority="55" operator="equal">
      <formula>"Not Executed"</formula>
    </cfRule>
  </conditionalFormatting>
  <conditionalFormatting sqref="L73">
    <cfRule type="cellIs" dxfId="3" priority="56" operator="equal">
      <formula>"Out of Scope"</formula>
    </cfRule>
  </conditionalFormatting>
  <conditionalFormatting sqref="L74">
    <cfRule type="cellIs" dxfId="0" priority="57" operator="equal">
      <formula>"Passed"</formula>
    </cfRule>
  </conditionalFormatting>
  <conditionalFormatting sqref="L74">
    <cfRule type="cellIs" dxfId="1" priority="58" operator="equal">
      <formula>"Failed"</formula>
    </cfRule>
  </conditionalFormatting>
  <conditionalFormatting sqref="L74">
    <cfRule type="cellIs" dxfId="2" priority="59" operator="equal">
      <formula>"Not Executed"</formula>
    </cfRule>
  </conditionalFormatting>
  <conditionalFormatting sqref="L74">
    <cfRule type="cellIs" dxfId="3" priority="60" operator="equal">
      <formula>"Out of Scope"</formula>
    </cfRule>
  </conditionalFormatting>
  <conditionalFormatting sqref="L75">
    <cfRule type="cellIs" dxfId="0" priority="61" operator="equal">
      <formula>"Passed"</formula>
    </cfRule>
  </conditionalFormatting>
  <conditionalFormatting sqref="L75">
    <cfRule type="cellIs" dxfId="1" priority="62" operator="equal">
      <formula>"Failed"</formula>
    </cfRule>
  </conditionalFormatting>
  <conditionalFormatting sqref="L75">
    <cfRule type="cellIs" dxfId="2" priority="63" operator="equal">
      <formula>"Not Executed"</formula>
    </cfRule>
  </conditionalFormatting>
  <conditionalFormatting sqref="L75">
    <cfRule type="cellIs" dxfId="3" priority="64" operator="equal">
      <formula>"Out of Scope"</formula>
    </cfRule>
  </conditionalFormatting>
  <conditionalFormatting sqref="L76">
    <cfRule type="cellIs" dxfId="0" priority="65" operator="equal">
      <formula>"Passed"</formula>
    </cfRule>
  </conditionalFormatting>
  <conditionalFormatting sqref="L76">
    <cfRule type="cellIs" dxfId="1" priority="66" operator="equal">
      <formula>"Failed"</formula>
    </cfRule>
  </conditionalFormatting>
  <conditionalFormatting sqref="L76">
    <cfRule type="cellIs" dxfId="2" priority="67" operator="equal">
      <formula>"Not Executed"</formula>
    </cfRule>
  </conditionalFormatting>
  <conditionalFormatting sqref="L76">
    <cfRule type="cellIs" dxfId="3" priority="68" operator="equal">
      <formula>"Out of Scope"</formula>
    </cfRule>
  </conditionalFormatting>
  <conditionalFormatting sqref="L77">
    <cfRule type="cellIs" dxfId="0" priority="69" operator="equal">
      <formula>"Passed"</formula>
    </cfRule>
  </conditionalFormatting>
  <conditionalFormatting sqref="L77">
    <cfRule type="cellIs" dxfId="1" priority="70" operator="equal">
      <formula>"Failed"</formula>
    </cfRule>
  </conditionalFormatting>
  <conditionalFormatting sqref="L77">
    <cfRule type="cellIs" dxfId="2" priority="71" operator="equal">
      <formula>"Not Executed"</formula>
    </cfRule>
  </conditionalFormatting>
  <conditionalFormatting sqref="L77">
    <cfRule type="cellIs" dxfId="3" priority="72" operator="equal">
      <formula>"Out of Scope"</formula>
    </cfRule>
  </conditionalFormatting>
  <conditionalFormatting sqref="L78">
    <cfRule type="cellIs" dxfId="0" priority="73" operator="equal">
      <formula>"Passed"</formula>
    </cfRule>
  </conditionalFormatting>
  <conditionalFormatting sqref="L78">
    <cfRule type="cellIs" dxfId="1" priority="74" operator="equal">
      <formula>"Failed"</formula>
    </cfRule>
  </conditionalFormatting>
  <conditionalFormatting sqref="L78">
    <cfRule type="cellIs" dxfId="2" priority="75" operator="equal">
      <formula>"Not Executed"</formula>
    </cfRule>
  </conditionalFormatting>
  <conditionalFormatting sqref="L78">
    <cfRule type="cellIs" dxfId="3" priority="76" operator="equal">
      <formula>"Out of Scope"</formula>
    </cfRule>
  </conditionalFormatting>
  <conditionalFormatting sqref="L79">
    <cfRule type="cellIs" dxfId="0" priority="77" operator="equal">
      <formula>"Passed"</formula>
    </cfRule>
  </conditionalFormatting>
  <conditionalFormatting sqref="L79">
    <cfRule type="cellIs" dxfId="1" priority="78" operator="equal">
      <formula>"Failed"</formula>
    </cfRule>
  </conditionalFormatting>
  <conditionalFormatting sqref="L79">
    <cfRule type="cellIs" dxfId="2" priority="79" operator="equal">
      <formula>"Not Executed"</formula>
    </cfRule>
  </conditionalFormatting>
  <conditionalFormatting sqref="L79">
    <cfRule type="cellIs" dxfId="3" priority="80" operator="equal">
      <formula>"Out of Scope"</formula>
    </cfRule>
  </conditionalFormatting>
  <conditionalFormatting sqref="L80">
    <cfRule type="cellIs" dxfId="0" priority="81" operator="equal">
      <formula>"Passed"</formula>
    </cfRule>
  </conditionalFormatting>
  <conditionalFormatting sqref="L80">
    <cfRule type="cellIs" dxfId="1" priority="82" operator="equal">
      <formula>"Failed"</formula>
    </cfRule>
  </conditionalFormatting>
  <conditionalFormatting sqref="L80">
    <cfRule type="cellIs" dxfId="2" priority="83" operator="equal">
      <formula>"Not Executed"</formula>
    </cfRule>
  </conditionalFormatting>
  <conditionalFormatting sqref="L80">
    <cfRule type="cellIs" dxfId="3" priority="84" operator="equal">
      <formula>"Out of Scope"</formula>
    </cfRule>
  </conditionalFormatting>
  <conditionalFormatting sqref="L81">
    <cfRule type="cellIs" dxfId="0" priority="85" operator="equal">
      <formula>"Passed"</formula>
    </cfRule>
  </conditionalFormatting>
  <conditionalFormatting sqref="L81">
    <cfRule type="cellIs" dxfId="1" priority="86" operator="equal">
      <formula>"Failed"</formula>
    </cfRule>
  </conditionalFormatting>
  <conditionalFormatting sqref="L81">
    <cfRule type="cellIs" dxfId="2" priority="87" operator="equal">
      <formula>"Not Executed"</formula>
    </cfRule>
  </conditionalFormatting>
  <conditionalFormatting sqref="L81">
    <cfRule type="cellIs" dxfId="3" priority="88" operator="equal">
      <formula>"Out of Scope"</formula>
    </cfRule>
  </conditionalFormatting>
  <conditionalFormatting sqref="L82">
    <cfRule type="cellIs" dxfId="0" priority="89" operator="equal">
      <formula>"Passed"</formula>
    </cfRule>
  </conditionalFormatting>
  <conditionalFormatting sqref="L82">
    <cfRule type="cellIs" dxfId="1" priority="90" operator="equal">
      <formula>"Failed"</formula>
    </cfRule>
  </conditionalFormatting>
  <conditionalFormatting sqref="L82">
    <cfRule type="cellIs" dxfId="2" priority="91" operator="equal">
      <formula>"Not Executed"</formula>
    </cfRule>
  </conditionalFormatting>
  <conditionalFormatting sqref="L82">
    <cfRule type="cellIs" dxfId="3" priority="92" operator="equal">
      <formula>"Out of Scope"</formula>
    </cfRule>
  </conditionalFormatting>
  <dataValidations>
    <dataValidation type="list" allowBlank="1" sqref="L8 L10:L129 L131:L141 L143:L146 L148:L152 L154:L155 L157:L163 L165:L255 K256:L261 L262 K263:L264 L265:L269 L272:L273 L276 L279:L290 L292:L300 K301:L301 L302:L304 L307:L308 L310 L312:L314 K315:L324 L325:L354 L367:L370 L390:L422">
      <formula1>"Passed,Failed,Not Executed,Out of Scope"</formula1>
    </dataValidation>
  </dataValidations>
  <hyperlinks>
    <hyperlink r:id="rId1" ref="C1"/>
    <hyperlink r:id="rId2" ref="I16"/>
    <hyperlink r:id="rId3" ref="J16"/>
    <hyperlink r:id="rId4" ref="I17"/>
    <hyperlink r:id="rId5" ref="I18"/>
    <hyperlink r:id="rId6" ref="I20"/>
    <hyperlink r:id="rId7" ref="I21"/>
    <hyperlink r:id="rId8" ref="I22"/>
    <hyperlink r:id="rId9" ref="I23"/>
    <hyperlink r:id="rId10" ref="I24"/>
    <hyperlink r:id="rId11" ref="I25"/>
    <hyperlink r:id="rId12" ref="I26"/>
    <hyperlink r:id="rId13" ref="I27"/>
    <hyperlink r:id="rId14" ref="I28"/>
    <hyperlink r:id="rId15" ref="I29"/>
    <hyperlink r:id="rId16" ref="J36"/>
    <hyperlink r:id="rId17" ref="J47"/>
    <hyperlink r:id="rId18" ref="J53"/>
    <hyperlink r:id="rId19" ref="J54"/>
    <hyperlink r:id="rId20" ref="J55"/>
    <hyperlink r:id="rId21" ref="J63"/>
    <hyperlink r:id="rId22" ref="I74"/>
    <hyperlink r:id="rId23" ref="J74"/>
    <hyperlink r:id="rId24" ref="J79"/>
    <hyperlink r:id="rId25" ref="J80"/>
    <hyperlink r:id="rId26" ref="J81"/>
    <hyperlink r:id="rId27" ref="J82"/>
    <hyperlink r:id="rId28" ref="J93"/>
    <hyperlink r:id="rId29" ref="J94"/>
    <hyperlink r:id="rId30" ref="J96"/>
    <hyperlink r:id="rId31" ref="J97"/>
  </hyperlinks>
  <printOptions/>
  <pageMargins bottom="0.75" footer="0.0" header="0.0" left="0.7" right="0.7" top="0.75"/>
  <pageSetup orientation="portrait"/>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413" t="s">
        <v>347</v>
      </c>
      <c r="C4" s="69"/>
      <c r="D4" s="69"/>
      <c r="E4" s="69"/>
      <c r="F4" s="69"/>
      <c r="G4" s="47"/>
      <c r="I4" s="414" t="s">
        <v>348</v>
      </c>
      <c r="K4" s="415"/>
    </row>
    <row r="5" ht="15.75" customHeight="1">
      <c r="B5" s="416" t="s">
        <v>349</v>
      </c>
      <c r="C5" s="417" t="s">
        <v>350</v>
      </c>
      <c r="D5" s="418"/>
      <c r="E5" s="418"/>
      <c r="F5" s="418"/>
      <c r="G5" s="419"/>
    </row>
    <row r="6" ht="15.75" customHeight="1">
      <c r="B6" s="420" t="s">
        <v>351</v>
      </c>
      <c r="C6" s="421" t="s">
        <v>352</v>
      </c>
      <c r="D6" s="418"/>
      <c r="E6" s="418"/>
      <c r="F6" s="418"/>
      <c r="G6" s="419"/>
      <c r="I6" s="422" t="s">
        <v>353</v>
      </c>
      <c r="J6" s="422" t="s">
        <v>354</v>
      </c>
      <c r="L6" s="423" t="s">
        <v>355</v>
      </c>
      <c r="M6" s="423" t="s">
        <v>356</v>
      </c>
    </row>
    <row r="7" ht="15.75" customHeight="1">
      <c r="A7" s="424"/>
      <c r="B7" s="420" t="s">
        <v>357</v>
      </c>
      <c r="C7" s="417" t="s">
        <v>358</v>
      </c>
      <c r="D7" s="418"/>
      <c r="E7" s="418"/>
      <c r="F7" s="418"/>
      <c r="G7" s="419"/>
      <c r="I7" s="422"/>
      <c r="J7" s="422"/>
      <c r="L7" s="425"/>
      <c r="M7" s="423"/>
    </row>
    <row r="8" ht="15.75" customHeight="1">
      <c r="B8" s="416" t="s">
        <v>359</v>
      </c>
      <c r="C8" s="421">
        <v>1.0</v>
      </c>
      <c r="D8" s="418"/>
      <c r="E8" s="418"/>
      <c r="F8" s="418"/>
      <c r="G8" s="419"/>
      <c r="I8" s="426">
        <f>C16</f>
        <v>66</v>
      </c>
      <c r="J8" s="426" t="s">
        <v>45</v>
      </c>
      <c r="K8" s="427"/>
      <c r="L8" s="427"/>
    </row>
    <row r="9" ht="15.75" customHeight="1">
      <c r="B9" s="416" t="s">
        <v>360</v>
      </c>
      <c r="C9" s="417" t="s">
        <v>6</v>
      </c>
      <c r="D9" s="418"/>
      <c r="E9" s="418"/>
      <c r="F9" s="418"/>
      <c r="G9" s="419"/>
      <c r="I9" s="426">
        <f>D16</f>
        <v>16</v>
      </c>
      <c r="J9" s="426" t="s">
        <v>50</v>
      </c>
      <c r="K9" s="427"/>
      <c r="L9" s="428"/>
    </row>
    <row r="10" ht="15.75" customHeight="1">
      <c r="B10" s="416" t="s">
        <v>361</v>
      </c>
      <c r="C10" s="417" t="s">
        <v>6</v>
      </c>
      <c r="D10" s="418"/>
      <c r="E10" s="418"/>
      <c r="F10" s="418"/>
      <c r="G10" s="419"/>
      <c r="I10" s="426">
        <f>E16</f>
        <v>0</v>
      </c>
      <c r="J10" s="426" t="s">
        <v>362</v>
      </c>
      <c r="L10" s="429"/>
      <c r="M10" s="429"/>
      <c r="N10" s="429"/>
      <c r="O10" s="427"/>
      <c r="P10" s="429"/>
    </row>
    <row r="11" ht="15.75" customHeight="1">
      <c r="B11" s="416" t="s">
        <v>363</v>
      </c>
      <c r="C11" s="421" t="s">
        <v>53</v>
      </c>
      <c r="D11" s="418"/>
      <c r="E11" s="418"/>
      <c r="F11" s="418"/>
      <c r="G11" s="419"/>
      <c r="I11" s="426">
        <f>F16</f>
        <v>0</v>
      </c>
      <c r="J11" s="426" t="s">
        <v>364</v>
      </c>
      <c r="L11" s="427"/>
      <c r="M11" s="427"/>
      <c r="N11" s="427"/>
      <c r="O11" s="427"/>
      <c r="P11" s="427"/>
    </row>
    <row r="12" ht="15.75" customHeight="1">
      <c r="B12" s="430" t="s">
        <v>365</v>
      </c>
      <c r="C12" s="431"/>
      <c r="D12" s="431"/>
      <c r="E12" s="431"/>
      <c r="F12" s="431"/>
      <c r="G12" s="432"/>
    </row>
    <row r="13" ht="15.75" customHeight="1">
      <c r="B13" s="433"/>
      <c r="C13" s="434"/>
      <c r="D13" s="434"/>
      <c r="E13" s="434"/>
      <c r="F13" s="434"/>
      <c r="G13" s="228"/>
      <c r="I13" s="435" t="s">
        <v>366</v>
      </c>
      <c r="J13" s="69"/>
      <c r="K13" s="47"/>
      <c r="L13" s="436"/>
    </row>
    <row r="14" ht="15.75" customHeight="1">
      <c r="B14" s="437" t="s">
        <v>367</v>
      </c>
      <c r="C14" s="438" t="s">
        <v>45</v>
      </c>
      <c r="D14" s="438" t="s">
        <v>50</v>
      </c>
      <c r="E14" s="438" t="s">
        <v>362</v>
      </c>
      <c r="F14" s="438" t="s">
        <v>368</v>
      </c>
      <c r="G14" s="439" t="s">
        <v>369</v>
      </c>
      <c r="L14" s="427"/>
      <c r="M14" s="427"/>
      <c r="N14" s="427"/>
      <c r="O14" s="427"/>
      <c r="P14" s="427"/>
      <c r="Q14" s="427"/>
      <c r="R14" s="427"/>
    </row>
    <row r="15" ht="48.0" customHeight="1">
      <c r="A15" s="440"/>
      <c r="B15" s="441"/>
      <c r="C15" s="442">
        <f>TestCase!M2</f>
        <v>66</v>
      </c>
      <c r="D15" s="443">
        <f>TestCase!M3</f>
        <v>16</v>
      </c>
      <c r="E15" s="444">
        <f>TestCase!M4</f>
        <v>0</v>
      </c>
      <c r="F15" s="445">
        <f>TestCase!M5</f>
        <v>0</v>
      </c>
      <c r="G15" s="446">
        <f>TestCase!M6</f>
        <v>82</v>
      </c>
      <c r="H15" s="440"/>
      <c r="I15" s="440"/>
      <c r="J15" s="440"/>
      <c r="K15" s="440"/>
      <c r="L15" s="447"/>
      <c r="M15" s="440"/>
      <c r="N15" s="440"/>
      <c r="O15" s="440"/>
      <c r="P15" s="440"/>
      <c r="Q15" s="440"/>
      <c r="R15" s="440"/>
      <c r="S15" s="440"/>
      <c r="T15" s="440"/>
      <c r="U15" s="440"/>
      <c r="V15" s="440"/>
      <c r="W15" s="440"/>
      <c r="X15" s="440"/>
      <c r="Y15" s="440"/>
      <c r="Z15" s="440"/>
    </row>
    <row r="16" ht="12.75" customHeight="1">
      <c r="B16" s="448" t="s">
        <v>370</v>
      </c>
      <c r="C16" s="449">
        <f t="shared" ref="C16:G16" si="1">SUM(C15)</f>
        <v>66</v>
      </c>
      <c r="D16" s="450">
        <f t="shared" si="1"/>
        <v>16</v>
      </c>
      <c r="E16" s="449">
        <f t="shared" si="1"/>
        <v>0</v>
      </c>
      <c r="F16" s="449">
        <f t="shared" si="1"/>
        <v>0</v>
      </c>
      <c r="G16" s="451">
        <f t="shared" si="1"/>
        <v>82</v>
      </c>
      <c r="L16" s="415"/>
      <c r="M16" s="452"/>
      <c r="N16" s="452"/>
      <c r="O16" s="452"/>
      <c r="P16" s="452"/>
      <c r="Q16" s="452"/>
      <c r="R16" s="452"/>
    </row>
    <row r="17" ht="15.75" customHeight="1">
      <c r="B17" s="453"/>
      <c r="C17" s="454"/>
      <c r="D17" s="454"/>
      <c r="E17" s="454"/>
      <c r="F17" s="454"/>
      <c r="G17" s="455"/>
      <c r="L17" s="415"/>
      <c r="M17" s="452"/>
      <c r="N17" s="452"/>
      <c r="O17" s="452"/>
      <c r="P17" s="452"/>
      <c r="Q17" s="452"/>
      <c r="R17" s="452"/>
    </row>
    <row r="18" ht="15.75" customHeight="1">
      <c r="B18" s="456"/>
      <c r="C18" s="456"/>
      <c r="D18" s="456"/>
      <c r="E18" s="456"/>
      <c r="F18" s="456"/>
      <c r="G18" s="456"/>
      <c r="L18" s="427"/>
      <c r="M18" s="427"/>
      <c r="N18" s="427"/>
      <c r="O18" s="427"/>
      <c r="P18" s="427"/>
      <c r="Q18" s="427"/>
      <c r="R18" s="427"/>
    </row>
    <row r="19" ht="15.75" customHeight="1">
      <c r="B19" s="457" t="s">
        <v>371</v>
      </c>
      <c r="C19" s="69"/>
      <c r="D19" s="69"/>
      <c r="E19" s="69"/>
      <c r="F19" s="69"/>
      <c r="G19" s="47"/>
    </row>
    <row r="20" ht="15.75" customHeight="1">
      <c r="B20" s="458" t="s">
        <v>372</v>
      </c>
      <c r="C20" s="69"/>
      <c r="D20" s="47"/>
      <c r="E20" s="459"/>
      <c r="F20" s="459" t="s">
        <v>373</v>
      </c>
      <c r="G20" s="459" t="s">
        <v>374</v>
      </c>
    </row>
    <row r="21" ht="15.75" customHeight="1">
      <c r="B21" s="460" t="s">
        <v>375</v>
      </c>
      <c r="C21" s="69"/>
      <c r="D21" s="47"/>
      <c r="E21" s="461"/>
      <c r="F21" s="461" t="s">
        <v>55</v>
      </c>
      <c r="G21" s="461" t="s">
        <v>55</v>
      </c>
    </row>
    <row r="22" ht="15.75" customHeight="1">
      <c r="B22" s="460" t="s">
        <v>376</v>
      </c>
      <c r="C22" s="69"/>
      <c r="D22" s="47"/>
      <c r="E22" s="461"/>
      <c r="F22" s="461" t="s">
        <v>55</v>
      </c>
      <c r="G22" s="461" t="s">
        <v>55</v>
      </c>
    </row>
    <row r="23" ht="15.75" customHeight="1"/>
    <row r="24" ht="15.75" customHeight="1">
      <c r="B24" s="462"/>
      <c r="C24" s="463" t="s">
        <v>377</v>
      </c>
      <c r="D24" s="464" t="s">
        <v>378</v>
      </c>
      <c r="E24" s="465"/>
      <c r="F24" s="465"/>
      <c r="G24" s="466"/>
    </row>
    <row r="25" ht="15.75" customHeight="1">
      <c r="B25" s="162"/>
      <c r="C25" s="162"/>
      <c r="D25" s="467"/>
      <c r="G25" s="117"/>
    </row>
    <row r="26" ht="15.75" customHeight="1">
      <c r="B26" s="162"/>
      <c r="C26" s="162"/>
      <c r="D26" s="467"/>
      <c r="G26" s="117"/>
    </row>
    <row r="27" ht="15.75" customHeight="1">
      <c r="B27" s="164"/>
      <c r="C27" s="164"/>
      <c r="D27" s="433"/>
      <c r="E27" s="434"/>
      <c r="F27" s="434"/>
      <c r="G27" s="228"/>
    </row>
    <row r="28" ht="15.75" customHeight="1">
      <c r="B28" s="468" t="s">
        <v>379</v>
      </c>
      <c r="C28" s="469" t="s">
        <v>380</v>
      </c>
      <c r="D28" s="470" t="s">
        <v>381</v>
      </c>
      <c r="E28" s="465"/>
      <c r="F28" s="465"/>
      <c r="G28" s="466"/>
    </row>
    <row r="29" ht="15.75" customHeight="1">
      <c r="B29" s="162"/>
      <c r="C29" s="162"/>
      <c r="D29" s="467"/>
      <c r="G29" s="117"/>
    </row>
    <row r="30" ht="15.75" customHeight="1">
      <c r="B30" s="162"/>
      <c r="C30" s="162"/>
      <c r="D30" s="467"/>
      <c r="G30" s="117"/>
    </row>
    <row r="31" ht="15.75" customHeight="1">
      <c r="B31" s="164"/>
      <c r="C31" s="164"/>
      <c r="D31" s="433"/>
      <c r="E31" s="434"/>
      <c r="F31" s="434"/>
      <c r="G31" s="228"/>
    </row>
    <row r="32" ht="15.75" customHeight="1">
      <c r="B32" s="468" t="s">
        <v>379</v>
      </c>
      <c r="C32" s="469" t="s">
        <v>382</v>
      </c>
      <c r="D32" s="470" t="s">
        <v>383</v>
      </c>
      <c r="E32" s="465"/>
      <c r="F32" s="465"/>
      <c r="G32" s="466"/>
    </row>
    <row r="33" ht="15.75" customHeight="1">
      <c r="B33" s="162"/>
      <c r="C33" s="162"/>
      <c r="D33" s="467"/>
      <c r="G33" s="117"/>
    </row>
    <row r="34" ht="15.75" customHeight="1">
      <c r="B34" s="162"/>
      <c r="C34" s="162"/>
      <c r="D34" s="467"/>
      <c r="G34" s="117"/>
    </row>
    <row r="35" ht="15.75" customHeight="1">
      <c r="B35" s="164"/>
      <c r="C35" s="164"/>
      <c r="D35" s="433"/>
      <c r="E35" s="434"/>
      <c r="F35" s="434"/>
      <c r="G35" s="228"/>
    </row>
    <row r="36" ht="15.75" customHeight="1">
      <c r="B36" s="468" t="s">
        <v>379</v>
      </c>
      <c r="C36" s="469" t="s">
        <v>384</v>
      </c>
      <c r="D36" s="470" t="s">
        <v>385</v>
      </c>
      <c r="E36" s="465"/>
      <c r="F36" s="465"/>
      <c r="G36" s="466"/>
    </row>
    <row r="37" ht="15.75" customHeight="1">
      <c r="B37" s="162"/>
      <c r="C37" s="162"/>
      <c r="D37" s="467"/>
      <c r="G37" s="117"/>
    </row>
    <row r="38" ht="15.75" customHeight="1">
      <c r="B38" s="162"/>
      <c r="C38" s="162"/>
      <c r="D38" s="467"/>
      <c r="G38" s="117"/>
    </row>
    <row r="39" ht="15.75" customHeight="1">
      <c r="B39" s="164"/>
      <c r="C39" s="164"/>
      <c r="D39" s="433"/>
      <c r="E39" s="434"/>
      <c r="F39" s="434"/>
      <c r="G39" s="228"/>
    </row>
    <row r="40" ht="15.75" customHeight="1">
      <c r="B40" s="468" t="s">
        <v>379</v>
      </c>
      <c r="C40" s="469" t="s">
        <v>386</v>
      </c>
      <c r="D40" s="470" t="s">
        <v>387</v>
      </c>
      <c r="E40" s="465"/>
      <c r="F40" s="465"/>
      <c r="G40" s="466"/>
    </row>
    <row r="41" ht="15.75" customHeight="1">
      <c r="B41" s="162"/>
      <c r="C41" s="162"/>
      <c r="D41" s="467"/>
      <c r="G41" s="117"/>
    </row>
    <row r="42" ht="15.75" customHeight="1">
      <c r="B42" s="162"/>
      <c r="C42" s="162"/>
      <c r="D42" s="467"/>
      <c r="G42" s="117"/>
    </row>
    <row r="43" ht="15.75" customHeight="1">
      <c r="B43" s="164"/>
      <c r="C43" s="164"/>
      <c r="D43" s="433"/>
      <c r="E43" s="434"/>
      <c r="F43" s="434"/>
      <c r="G43" s="228"/>
    </row>
    <row r="44" ht="15.75" customHeight="1">
      <c r="B44" s="468" t="s">
        <v>379</v>
      </c>
      <c r="C44" s="468" t="s">
        <v>388</v>
      </c>
      <c r="D44" s="470" t="s">
        <v>389</v>
      </c>
      <c r="E44" s="465"/>
      <c r="F44" s="465"/>
      <c r="G44" s="466"/>
    </row>
    <row r="45" ht="15.75" customHeight="1">
      <c r="B45" s="162"/>
      <c r="C45" s="162"/>
      <c r="D45" s="467"/>
      <c r="G45" s="117"/>
    </row>
    <row r="46" ht="15.75" customHeight="1">
      <c r="B46" s="162"/>
      <c r="C46" s="162"/>
      <c r="D46" s="467"/>
      <c r="G46" s="117"/>
    </row>
    <row r="47" ht="15.75" customHeight="1">
      <c r="B47" s="164"/>
      <c r="C47" s="164"/>
      <c r="D47" s="433"/>
      <c r="E47" s="434"/>
      <c r="F47" s="434"/>
      <c r="G47" s="228"/>
    </row>
    <row r="48" ht="15.75" customHeight="1">
      <c r="B48" s="468" t="s">
        <v>379</v>
      </c>
      <c r="C48" s="468" t="s">
        <v>390</v>
      </c>
      <c r="D48" s="470" t="s">
        <v>391</v>
      </c>
      <c r="E48" s="465"/>
      <c r="F48" s="465"/>
      <c r="G48" s="466"/>
    </row>
    <row r="49" ht="15.75" customHeight="1">
      <c r="B49" s="162"/>
      <c r="C49" s="162"/>
      <c r="D49" s="467"/>
      <c r="G49" s="117"/>
    </row>
    <row r="50" ht="15.75" customHeight="1">
      <c r="B50" s="162"/>
      <c r="C50" s="162"/>
      <c r="D50" s="467"/>
      <c r="G50" s="117"/>
    </row>
    <row r="51" ht="33.75" customHeight="1">
      <c r="B51" s="164"/>
      <c r="C51" s="164"/>
      <c r="D51" s="433"/>
      <c r="E51" s="434"/>
      <c r="F51" s="434"/>
      <c r="G51" s="228"/>
    </row>
    <row r="52" ht="15.75" customHeight="1">
      <c r="B52" s="468" t="s">
        <v>379</v>
      </c>
      <c r="C52" s="468" t="s">
        <v>392</v>
      </c>
      <c r="D52" s="470" t="s">
        <v>393</v>
      </c>
      <c r="E52" s="465"/>
      <c r="F52" s="465"/>
      <c r="G52" s="466"/>
    </row>
    <row r="53" ht="15.75" customHeight="1">
      <c r="B53" s="162"/>
      <c r="C53" s="162"/>
      <c r="D53" s="467"/>
      <c r="G53" s="117"/>
    </row>
    <row r="54" ht="15.75" customHeight="1">
      <c r="B54" s="162"/>
      <c r="C54" s="162"/>
      <c r="D54" s="467"/>
      <c r="G54" s="117"/>
    </row>
    <row r="55" ht="39.0" customHeight="1">
      <c r="B55" s="164"/>
      <c r="C55" s="164"/>
      <c r="D55" s="433"/>
      <c r="E55" s="434"/>
      <c r="F55" s="434"/>
      <c r="G55" s="228"/>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26" width="45.71"/>
  </cols>
  <sheetData>
    <row r="1" ht="12.75" customHeight="1"/>
    <row r="2" ht="12.75" customHeight="1"/>
    <row r="3" ht="12.75" customHeight="1">
      <c r="C3" s="471"/>
    </row>
    <row r="4" ht="13.5" customHeight="1">
      <c r="B4" s="472"/>
      <c r="C4" s="472"/>
    </row>
    <row r="5" ht="13.5" customHeight="1">
      <c r="B5" s="473" t="s">
        <v>394</v>
      </c>
      <c r="C5" s="472"/>
    </row>
    <row r="6" ht="13.5" customHeight="1">
      <c r="B6" s="331"/>
      <c r="C6" s="472"/>
    </row>
    <row r="7" ht="13.5" customHeight="1">
      <c r="B7" s="27"/>
      <c r="C7" s="472"/>
    </row>
    <row r="8" ht="13.5" customHeight="1">
      <c r="B8" s="474"/>
      <c r="C8" s="472"/>
    </row>
    <row r="9" ht="13.5" customHeight="1">
      <c r="B9" s="475" t="s">
        <v>395</v>
      </c>
      <c r="C9" s="472"/>
    </row>
    <row r="10" ht="13.5" customHeight="1">
      <c r="B10" s="475"/>
      <c r="C10" s="472"/>
    </row>
    <row r="11" ht="13.5" customHeight="1">
      <c r="B11" s="475" t="s">
        <v>396</v>
      </c>
      <c r="C11" s="472"/>
    </row>
    <row r="12" ht="13.5" customHeight="1">
      <c r="B12" s="475"/>
      <c r="C12" s="472"/>
    </row>
    <row r="13" ht="13.5" customHeight="1">
      <c r="B13" s="475" t="s">
        <v>397</v>
      </c>
      <c r="C13" s="472"/>
    </row>
    <row r="14" ht="13.5" customHeight="1">
      <c r="B14" s="476" t="s">
        <v>398</v>
      </c>
      <c r="C14" s="472"/>
    </row>
    <row r="15" ht="13.5" customHeight="1">
      <c r="B15" s="477" t="s">
        <v>399</v>
      </c>
      <c r="C15" s="472"/>
    </row>
    <row r="16" ht="13.5" customHeight="1">
      <c r="B16" s="477" t="s">
        <v>400</v>
      </c>
      <c r="C16" s="472"/>
    </row>
    <row r="17" ht="13.5" customHeight="1">
      <c r="B17" s="475"/>
      <c r="C17" s="472"/>
    </row>
    <row r="18" ht="13.5" customHeight="1">
      <c r="B18" s="475" t="s">
        <v>401</v>
      </c>
      <c r="C18" s="472"/>
    </row>
    <row r="19" ht="13.5" customHeight="1">
      <c r="B19" s="475" t="s">
        <v>402</v>
      </c>
      <c r="C19" s="472"/>
    </row>
    <row r="20" ht="13.5" customHeight="1">
      <c r="B20" s="475" t="s">
        <v>403</v>
      </c>
      <c r="C20" s="472"/>
    </row>
    <row r="21" ht="13.5" customHeight="1">
      <c r="B21" s="475" t="s">
        <v>404</v>
      </c>
      <c r="C21" s="472"/>
    </row>
    <row r="22" ht="13.5" customHeight="1">
      <c r="B22" s="478" t="s">
        <v>405</v>
      </c>
      <c r="C22" s="472"/>
    </row>
    <row r="23" ht="13.5" customHeight="1">
      <c r="B23" s="475" t="s">
        <v>406</v>
      </c>
      <c r="C23" s="472"/>
    </row>
    <row r="24" ht="13.5" customHeight="1">
      <c r="B24" s="475"/>
      <c r="C24" s="472"/>
    </row>
    <row r="25" ht="13.5" customHeight="1">
      <c r="B25" s="479" t="s">
        <v>407</v>
      </c>
      <c r="C25" s="472"/>
    </row>
    <row r="26" ht="13.5" customHeight="1">
      <c r="B26" s="472"/>
      <c r="C26" s="472"/>
    </row>
    <row r="27" ht="13.5" customHeight="1">
      <c r="B27" s="472"/>
      <c r="C27" s="472"/>
    </row>
    <row r="28" ht="13.5" customHeight="1">
      <c r="B28" s="480" t="s">
        <v>394</v>
      </c>
      <c r="C28" s="472"/>
    </row>
    <row r="29" ht="13.5" customHeight="1">
      <c r="B29" s="331"/>
      <c r="C29" s="472"/>
    </row>
    <row r="30" ht="13.5" customHeight="1">
      <c r="B30" s="27"/>
      <c r="C30" s="472"/>
    </row>
    <row r="31" ht="13.5" customHeight="1">
      <c r="B31" s="474"/>
      <c r="C31" s="472"/>
    </row>
    <row r="32" ht="13.5" customHeight="1">
      <c r="B32" s="475" t="s">
        <v>408</v>
      </c>
      <c r="C32" s="472"/>
    </row>
    <row r="33" ht="13.5" customHeight="1">
      <c r="B33" s="475"/>
      <c r="C33" s="472"/>
    </row>
    <row r="34" ht="13.5" customHeight="1">
      <c r="B34" s="475" t="s">
        <v>409</v>
      </c>
      <c r="C34" s="472"/>
    </row>
    <row r="35" ht="13.5" customHeight="1">
      <c r="B35" s="475"/>
      <c r="C35" s="472"/>
    </row>
    <row r="36" ht="13.5" customHeight="1">
      <c r="B36" s="475" t="s">
        <v>397</v>
      </c>
      <c r="C36" s="472"/>
    </row>
    <row r="37" ht="13.5" customHeight="1">
      <c r="B37" s="477" t="s">
        <v>410</v>
      </c>
      <c r="C37" s="472"/>
    </row>
    <row r="38" ht="13.5" customHeight="1">
      <c r="B38" s="477" t="s">
        <v>399</v>
      </c>
      <c r="C38" s="472"/>
    </row>
    <row r="39" ht="13.5" customHeight="1">
      <c r="B39" s="477"/>
      <c r="C39" s="472"/>
    </row>
    <row r="40" ht="13.5" customHeight="1">
      <c r="B40" s="475"/>
      <c r="C40" s="472"/>
    </row>
    <row r="41" ht="13.5" customHeight="1">
      <c r="B41" s="475" t="s">
        <v>411</v>
      </c>
      <c r="C41" s="472"/>
    </row>
    <row r="42" ht="13.5" customHeight="1">
      <c r="B42" s="475" t="s">
        <v>412</v>
      </c>
      <c r="C42" s="472"/>
    </row>
    <row r="43" ht="13.5" customHeight="1">
      <c r="B43" s="475" t="s">
        <v>413</v>
      </c>
      <c r="C43" s="472"/>
    </row>
    <row r="44" ht="13.5" customHeight="1">
      <c r="B44" s="475" t="s">
        <v>414</v>
      </c>
      <c r="C44" s="472"/>
    </row>
    <row r="45" ht="13.5" customHeight="1">
      <c r="B45" s="478" t="s">
        <v>415</v>
      </c>
      <c r="C45" s="472"/>
    </row>
    <row r="46" ht="13.5" customHeight="1">
      <c r="B46" s="475" t="s">
        <v>416</v>
      </c>
      <c r="C46" s="472"/>
    </row>
    <row r="47" ht="13.5" customHeight="1">
      <c r="B47" s="475"/>
      <c r="C47" s="472"/>
    </row>
    <row r="48" ht="13.5" customHeight="1">
      <c r="B48" s="479" t="s">
        <v>417</v>
      </c>
      <c r="C48" s="472"/>
    </row>
    <row r="49" ht="13.5" customHeight="1">
      <c r="B49" s="472"/>
      <c r="C49" s="472"/>
    </row>
    <row r="50" ht="13.5" customHeight="1">
      <c r="B50" s="472"/>
      <c r="C50" s="472"/>
    </row>
    <row r="51" ht="13.5" customHeight="1">
      <c r="B51" s="472"/>
      <c r="C51" s="472"/>
    </row>
    <row r="52" ht="12.75" customHeight="1">
      <c r="B52" s="481"/>
      <c r="C52" s="471"/>
    </row>
    <row r="53" ht="12.75" customHeight="1">
      <c r="D53" s="412"/>
    </row>
    <row r="54" ht="12.75" customHeight="1">
      <c r="B54" s="473" t="s">
        <v>394</v>
      </c>
    </row>
    <row r="55" ht="12.75" customHeight="1">
      <c r="B55" s="331"/>
    </row>
    <row r="56" ht="12.75" customHeight="1">
      <c r="B56" s="27"/>
    </row>
    <row r="57" ht="12.75" customHeight="1">
      <c r="B57" s="474"/>
    </row>
    <row r="58" ht="12.75" customHeight="1">
      <c r="B58" s="475" t="s">
        <v>418</v>
      </c>
    </row>
    <row r="59" ht="12.75" customHeight="1">
      <c r="B59" s="475"/>
    </row>
    <row r="60" ht="12.75" customHeight="1">
      <c r="B60" s="475" t="s">
        <v>419</v>
      </c>
    </row>
    <row r="61" ht="12.75" customHeight="1">
      <c r="B61" s="475"/>
    </row>
    <row r="62" ht="12.75" customHeight="1">
      <c r="B62" s="475" t="s">
        <v>397</v>
      </c>
    </row>
    <row r="63" ht="12.75" customHeight="1">
      <c r="B63" s="476" t="s">
        <v>420</v>
      </c>
    </row>
    <row r="64" ht="12.75" customHeight="1">
      <c r="B64" s="477" t="s">
        <v>421</v>
      </c>
    </row>
    <row r="65" ht="12.75" customHeight="1">
      <c r="B65" s="477" t="s">
        <v>422</v>
      </c>
    </row>
    <row r="66" ht="12.75" customHeight="1">
      <c r="B66" s="477" t="s">
        <v>423</v>
      </c>
    </row>
    <row r="67" ht="12.75" customHeight="1">
      <c r="B67" s="477" t="s">
        <v>424</v>
      </c>
    </row>
    <row r="68" ht="12.75" customHeight="1">
      <c r="B68" s="477" t="s">
        <v>425</v>
      </c>
    </row>
    <row r="69" ht="12.75" customHeight="1">
      <c r="B69" s="477" t="s">
        <v>426</v>
      </c>
    </row>
    <row r="70" ht="12.75" customHeight="1">
      <c r="B70" s="477" t="s">
        <v>427</v>
      </c>
    </row>
    <row r="71" ht="12.75" customHeight="1">
      <c r="B71" s="475"/>
    </row>
    <row r="72" ht="12.75" customHeight="1">
      <c r="B72" s="475"/>
    </row>
    <row r="73" ht="12.75" customHeight="1">
      <c r="B73" s="475" t="s">
        <v>428</v>
      </c>
    </row>
    <row r="74" ht="12.75" customHeight="1">
      <c r="B74" s="475" t="s">
        <v>429</v>
      </c>
    </row>
    <row r="75" ht="12.75" customHeight="1">
      <c r="B75" s="475" t="s">
        <v>430</v>
      </c>
    </row>
    <row r="76" ht="12.75" customHeight="1">
      <c r="B76" s="475" t="s">
        <v>431</v>
      </c>
    </row>
    <row r="77" ht="12.75" customHeight="1">
      <c r="B77" s="478" t="s">
        <v>432</v>
      </c>
    </row>
    <row r="78" ht="12.75" customHeight="1">
      <c r="B78" s="475" t="s">
        <v>433</v>
      </c>
    </row>
    <row r="79" ht="12.75" customHeight="1">
      <c r="B79" s="475"/>
    </row>
    <row r="80" ht="12.75" customHeight="1">
      <c r="B80" s="479" t="s">
        <v>434</v>
      </c>
    </row>
    <row r="81" ht="12.75" customHeight="1">
      <c r="B81" s="472"/>
    </row>
    <row r="82" ht="12.75" customHeight="1">
      <c r="B82" s="472"/>
    </row>
    <row r="83" ht="12.75" customHeight="1">
      <c r="B83" s="480" t="s">
        <v>394</v>
      </c>
    </row>
    <row r="84" ht="12.75" customHeight="1">
      <c r="B84" s="331"/>
    </row>
    <row r="85" ht="12.75" customHeight="1">
      <c r="B85" s="27"/>
    </row>
    <row r="86" ht="12.75" customHeight="1">
      <c r="B86" s="474"/>
    </row>
    <row r="87" ht="12.75" customHeight="1">
      <c r="B87" s="475" t="s">
        <v>435</v>
      </c>
    </row>
    <row r="88" ht="12.75" customHeight="1">
      <c r="B88" s="475"/>
    </row>
    <row r="89" ht="12.75" customHeight="1">
      <c r="B89" s="475" t="s">
        <v>436</v>
      </c>
    </row>
    <row r="90" ht="12.75" customHeight="1">
      <c r="B90" s="475"/>
    </row>
    <row r="91" ht="12.75" customHeight="1">
      <c r="B91" s="475" t="s">
        <v>397</v>
      </c>
    </row>
    <row r="92" ht="12.75" customHeight="1">
      <c r="B92" s="476" t="s">
        <v>437</v>
      </c>
    </row>
    <row r="93" ht="12.75" customHeight="1">
      <c r="B93" s="477" t="s">
        <v>421</v>
      </c>
    </row>
    <row r="94" ht="12.75" customHeight="1">
      <c r="B94" s="477" t="s">
        <v>422</v>
      </c>
    </row>
    <row r="95" ht="12.75" customHeight="1">
      <c r="B95" s="477" t="s">
        <v>423</v>
      </c>
    </row>
    <row r="96" ht="12.75" customHeight="1">
      <c r="B96" s="477" t="s">
        <v>424</v>
      </c>
    </row>
    <row r="97" ht="12.75" customHeight="1">
      <c r="B97" s="477" t="s">
        <v>425</v>
      </c>
    </row>
    <row r="98" ht="12.75" customHeight="1">
      <c r="B98" s="477" t="s">
        <v>426</v>
      </c>
    </row>
    <row r="99" ht="12.75" customHeight="1">
      <c r="B99" s="475"/>
    </row>
    <row r="100" ht="12.75" customHeight="1">
      <c r="B100" s="475"/>
    </row>
    <row r="101" ht="12.75" customHeight="1">
      <c r="B101" s="475" t="s">
        <v>438</v>
      </c>
    </row>
    <row r="102" ht="12.75" customHeight="1">
      <c r="B102" s="475" t="s">
        <v>439</v>
      </c>
    </row>
    <row r="103" ht="12.75" customHeight="1">
      <c r="B103" s="475" t="s">
        <v>440</v>
      </c>
    </row>
    <row r="104" ht="12.75" customHeight="1">
      <c r="B104" s="475" t="s">
        <v>441</v>
      </c>
    </row>
    <row r="105" ht="12.75" customHeight="1">
      <c r="B105" s="478" t="s">
        <v>442</v>
      </c>
    </row>
    <row r="106" ht="12.75" customHeight="1">
      <c r="B106" s="475" t="s">
        <v>443</v>
      </c>
    </row>
    <row r="107" ht="12.75" customHeight="1">
      <c r="B107" s="475"/>
    </row>
    <row r="108" ht="12.75" customHeight="1">
      <c r="B108" s="479" t="s">
        <v>444</v>
      </c>
    </row>
    <row r="109" ht="12.75" customHeight="1"/>
    <row r="110" ht="12.75" customHeight="1"/>
    <row r="111" ht="12.75" customHeight="1"/>
    <row r="112" ht="12.75" customHeight="1">
      <c r="B112" s="473" t="s">
        <v>394</v>
      </c>
    </row>
    <row r="113" ht="12.75" customHeight="1">
      <c r="B113" s="331"/>
    </row>
    <row r="114" ht="12.75" customHeight="1">
      <c r="B114" s="27"/>
    </row>
    <row r="115" ht="12.75" customHeight="1">
      <c r="B115" s="474"/>
    </row>
    <row r="116" ht="12.75" customHeight="1">
      <c r="B116" s="475" t="s">
        <v>445</v>
      </c>
    </row>
    <row r="117" ht="12.75" customHeight="1">
      <c r="B117" s="475"/>
    </row>
    <row r="118" ht="12.75" customHeight="1">
      <c r="B118" s="475" t="s">
        <v>446</v>
      </c>
    </row>
    <row r="119" ht="12.75" customHeight="1">
      <c r="B119" s="475"/>
    </row>
    <row r="120" ht="12.75" customHeight="1">
      <c r="B120" s="475" t="s">
        <v>397</v>
      </c>
    </row>
    <row r="121" ht="12.75" customHeight="1">
      <c r="B121" s="476" t="s">
        <v>447</v>
      </c>
    </row>
    <row r="122" ht="12.75" customHeight="1">
      <c r="B122" s="477" t="s">
        <v>165</v>
      </c>
    </row>
    <row r="123" ht="12.75" customHeight="1">
      <c r="B123" s="477" t="s">
        <v>448</v>
      </c>
    </row>
    <row r="124" ht="12.75" customHeight="1">
      <c r="B124" s="477" t="s">
        <v>449</v>
      </c>
    </row>
    <row r="125" ht="12.75" customHeight="1">
      <c r="B125" s="477" t="s">
        <v>450</v>
      </c>
    </row>
    <row r="126" ht="12.75" customHeight="1">
      <c r="B126" s="475"/>
    </row>
    <row r="127" ht="12.75" customHeight="1">
      <c r="B127" s="475"/>
    </row>
    <row r="128" ht="12.75" customHeight="1">
      <c r="B128" s="475" t="s">
        <v>451</v>
      </c>
    </row>
    <row r="129" ht="12.75" customHeight="1">
      <c r="B129" s="475" t="s">
        <v>452</v>
      </c>
    </row>
    <row r="130" ht="12.75" customHeight="1">
      <c r="B130" s="475" t="s">
        <v>453</v>
      </c>
    </row>
    <row r="131" ht="12.75" customHeight="1">
      <c r="B131" s="475" t="s">
        <v>454</v>
      </c>
    </row>
    <row r="132" ht="12.75" customHeight="1">
      <c r="B132" s="478" t="s">
        <v>455</v>
      </c>
    </row>
    <row r="133" ht="12.75" customHeight="1">
      <c r="B133" s="475" t="s">
        <v>456</v>
      </c>
    </row>
    <row r="134" ht="12.75" customHeight="1">
      <c r="B134" s="475"/>
    </row>
    <row r="135" ht="12.75" customHeight="1">
      <c r="B135" s="479" t="s">
        <v>457</v>
      </c>
    </row>
    <row r="136" ht="12.75" customHeight="1">
      <c r="B136" s="472"/>
    </row>
    <row r="137" ht="12.75" customHeight="1">
      <c r="B137" s="472"/>
    </row>
    <row r="138" ht="12.75" customHeight="1">
      <c r="B138" s="480" t="s">
        <v>394</v>
      </c>
    </row>
    <row r="139" ht="12.75" customHeight="1">
      <c r="B139" s="331"/>
    </row>
    <row r="140" ht="12.75" customHeight="1">
      <c r="B140" s="27"/>
    </row>
    <row r="141" ht="12.75" customHeight="1">
      <c r="B141" s="474"/>
    </row>
    <row r="142" ht="12.75" customHeight="1">
      <c r="B142" s="475" t="s">
        <v>458</v>
      </c>
    </row>
    <row r="143" ht="12.75" customHeight="1">
      <c r="B143" s="475"/>
    </row>
    <row r="144" ht="12.75" customHeight="1">
      <c r="B144" s="475" t="s">
        <v>459</v>
      </c>
    </row>
    <row r="145" ht="12.75" customHeight="1">
      <c r="B145" s="475"/>
    </row>
    <row r="146" ht="12.75" customHeight="1">
      <c r="B146" s="475" t="s">
        <v>397</v>
      </c>
    </row>
    <row r="147" ht="12.75" customHeight="1">
      <c r="B147" s="476" t="s">
        <v>460</v>
      </c>
    </row>
    <row r="148" ht="12.75" customHeight="1">
      <c r="B148" s="477" t="s">
        <v>421</v>
      </c>
    </row>
    <row r="149" ht="12.75" customHeight="1">
      <c r="B149" s="477" t="s">
        <v>461</v>
      </c>
    </row>
    <row r="150" ht="12.75" customHeight="1">
      <c r="B150" s="477" t="s">
        <v>462</v>
      </c>
    </row>
    <row r="151" ht="12.75" customHeight="1">
      <c r="B151" s="477" t="s">
        <v>463</v>
      </c>
    </row>
    <row r="152" ht="12.75" customHeight="1">
      <c r="B152" s="477" t="s">
        <v>464</v>
      </c>
    </row>
    <row r="153" ht="12.75" customHeight="1">
      <c r="B153" s="477" t="s">
        <v>465</v>
      </c>
    </row>
    <row r="154" ht="12.75" customHeight="1">
      <c r="B154" s="477" t="s">
        <v>466</v>
      </c>
    </row>
    <row r="155" ht="12.75" customHeight="1">
      <c r="B155" s="475"/>
    </row>
    <row r="156" ht="12.75" customHeight="1">
      <c r="B156" s="475"/>
    </row>
    <row r="157" ht="12.75" customHeight="1">
      <c r="B157" s="475" t="s">
        <v>467</v>
      </c>
    </row>
    <row r="158" ht="12.75" customHeight="1">
      <c r="B158" s="475" t="s">
        <v>468</v>
      </c>
    </row>
    <row r="159" ht="12.75" customHeight="1">
      <c r="B159" s="475" t="s">
        <v>469</v>
      </c>
    </row>
    <row r="160" ht="12.75" customHeight="1">
      <c r="B160" s="475" t="s">
        <v>470</v>
      </c>
    </row>
    <row r="161" ht="12.75" customHeight="1">
      <c r="B161" s="478" t="s">
        <v>471</v>
      </c>
    </row>
    <row r="162" ht="12.75" customHeight="1">
      <c r="B162" s="475" t="s">
        <v>472</v>
      </c>
    </row>
    <row r="163" ht="12.75" customHeight="1">
      <c r="B163" s="475"/>
    </row>
    <row r="164" ht="12.75" customHeight="1">
      <c r="B164" s="479" t="s">
        <v>473</v>
      </c>
    </row>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6">
    <mergeCell ref="B5:B7"/>
    <mergeCell ref="B28:B30"/>
    <mergeCell ref="B54:B56"/>
    <mergeCell ref="B83:B85"/>
    <mergeCell ref="B112:B114"/>
    <mergeCell ref="B138:B140"/>
  </mergeCells>
  <hyperlinks>
    <hyperlink r:id="rId1" ref="B14"/>
    <hyperlink r:id="rId2" ref="B22"/>
    <hyperlink r:id="rId3" ref="B45"/>
    <hyperlink r:id="rId4" ref="B63"/>
    <hyperlink r:id="rId5" ref="B77"/>
    <hyperlink r:id="rId6" ref="B92"/>
    <hyperlink r:id="rId7" ref="B105"/>
    <hyperlink r:id="rId8" ref="B121"/>
    <hyperlink r:id="rId9" ref="B132"/>
    <hyperlink r:id="rId10" ref="B147"/>
    <hyperlink r:id="rId11" ref="B161"/>
  </hyperlinks>
  <printOptions/>
  <pageMargins bottom="0.75" footer="0.0" header="0.0" left="0.7" right="0.7" top="0.75"/>
  <pageSetup orientation="portrait"/>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482"/>
    </row>
    <row r="2" ht="12.75" customHeight="1">
      <c r="E2" s="482"/>
    </row>
    <row r="3" ht="13.5" customHeight="1">
      <c r="B3" s="483" t="s">
        <v>474</v>
      </c>
      <c r="C3" s="465"/>
      <c r="D3" s="465"/>
      <c r="E3" s="466"/>
      <c r="F3" s="484"/>
      <c r="G3" s="484"/>
      <c r="H3" s="484"/>
    </row>
    <row r="4" ht="45.75" customHeight="1">
      <c r="B4" s="433"/>
      <c r="C4" s="434"/>
      <c r="D4" s="434"/>
      <c r="E4" s="228"/>
      <c r="F4" s="484"/>
      <c r="G4" s="484"/>
      <c r="H4" s="484"/>
    </row>
    <row r="5" ht="44.25" customHeight="1">
      <c r="B5" s="485" t="s">
        <v>61</v>
      </c>
      <c r="C5" s="486" t="s">
        <v>475</v>
      </c>
      <c r="D5" s="486" t="s">
        <v>378</v>
      </c>
      <c r="E5" s="486" t="s">
        <v>476</v>
      </c>
    </row>
    <row r="6" ht="27.75" customHeight="1">
      <c r="A6" s="5"/>
      <c r="B6" s="487">
        <v>1.0</v>
      </c>
      <c r="C6" s="488" t="s">
        <v>477</v>
      </c>
      <c r="D6" s="237" t="s">
        <v>478</v>
      </c>
      <c r="E6" s="487" t="s">
        <v>479</v>
      </c>
      <c r="F6" s="5"/>
      <c r="G6" s="5"/>
      <c r="H6" s="5"/>
      <c r="I6" s="5"/>
      <c r="J6" s="5"/>
      <c r="K6" s="5"/>
      <c r="L6" s="5"/>
      <c r="M6" s="5"/>
      <c r="N6" s="5"/>
      <c r="O6" s="5"/>
      <c r="P6" s="5"/>
      <c r="Q6" s="5"/>
      <c r="R6" s="5"/>
      <c r="S6" s="5"/>
      <c r="T6" s="5"/>
      <c r="U6" s="5"/>
      <c r="V6" s="5"/>
      <c r="W6" s="5"/>
      <c r="X6" s="5"/>
      <c r="Y6" s="5"/>
      <c r="Z6" s="5"/>
    </row>
    <row r="7" ht="29.25" customHeight="1">
      <c r="A7" s="5"/>
      <c r="B7" s="487">
        <v>2.0</v>
      </c>
      <c r="C7" s="489" t="s">
        <v>480</v>
      </c>
      <c r="D7" s="490" t="s">
        <v>481</v>
      </c>
      <c r="E7" s="487" t="s">
        <v>482</v>
      </c>
      <c r="F7" s="5"/>
      <c r="G7" s="5"/>
      <c r="H7" s="5"/>
      <c r="I7" s="5"/>
      <c r="J7" s="5"/>
      <c r="K7" s="5"/>
      <c r="L7" s="5"/>
      <c r="M7" s="5"/>
      <c r="N7" s="5"/>
      <c r="O7" s="5"/>
      <c r="P7" s="5"/>
      <c r="Q7" s="5"/>
      <c r="R7" s="5"/>
      <c r="S7" s="5"/>
      <c r="T7" s="5"/>
      <c r="U7" s="5"/>
      <c r="V7" s="5"/>
      <c r="W7" s="5"/>
      <c r="X7" s="5"/>
      <c r="Y7" s="5"/>
      <c r="Z7" s="5"/>
    </row>
    <row r="8" ht="27.75" customHeight="1">
      <c r="A8" s="491"/>
      <c r="B8" s="487">
        <v>3.0</v>
      </c>
      <c r="C8" s="489" t="s">
        <v>483</v>
      </c>
      <c r="D8" s="490" t="s">
        <v>484</v>
      </c>
      <c r="E8" s="487" t="s">
        <v>485</v>
      </c>
      <c r="F8" s="491"/>
      <c r="G8" s="491"/>
      <c r="H8" s="491"/>
      <c r="I8" s="491"/>
      <c r="J8" s="491"/>
      <c r="K8" s="491"/>
      <c r="L8" s="491"/>
      <c r="M8" s="491"/>
      <c r="N8" s="491"/>
      <c r="O8" s="491"/>
      <c r="P8" s="491"/>
      <c r="Q8" s="491"/>
      <c r="R8" s="491"/>
      <c r="S8" s="491"/>
      <c r="T8" s="491"/>
      <c r="U8" s="491"/>
      <c r="V8" s="491"/>
      <c r="W8" s="491"/>
      <c r="X8" s="491"/>
      <c r="Y8" s="491"/>
      <c r="Z8" s="491"/>
    </row>
    <row r="9" ht="29.25" customHeight="1">
      <c r="A9" s="491"/>
      <c r="B9" s="487">
        <v>4.0</v>
      </c>
      <c r="C9" s="489" t="s">
        <v>486</v>
      </c>
      <c r="D9" s="490" t="s">
        <v>487</v>
      </c>
      <c r="E9" s="487" t="s">
        <v>488</v>
      </c>
      <c r="F9" s="491"/>
      <c r="G9" s="491"/>
      <c r="H9" s="491"/>
      <c r="I9" s="491"/>
      <c r="J9" s="491"/>
      <c r="K9" s="491"/>
      <c r="L9" s="491"/>
      <c r="M9" s="491"/>
      <c r="N9" s="491"/>
      <c r="O9" s="491"/>
      <c r="P9" s="491"/>
      <c r="Q9" s="491"/>
      <c r="R9" s="491"/>
      <c r="S9" s="491"/>
      <c r="T9" s="491"/>
      <c r="U9" s="491"/>
      <c r="V9" s="491"/>
      <c r="W9" s="491"/>
      <c r="X9" s="491"/>
      <c r="Y9" s="491"/>
      <c r="Z9" s="491"/>
    </row>
    <row r="10" ht="28.5" customHeight="1">
      <c r="A10" s="491"/>
      <c r="B10" s="487">
        <v>5.0</v>
      </c>
      <c r="C10" s="489" t="s">
        <v>489</v>
      </c>
      <c r="D10" s="490" t="s">
        <v>490</v>
      </c>
      <c r="E10" s="487" t="s">
        <v>482</v>
      </c>
      <c r="F10" s="491"/>
      <c r="G10" s="491"/>
      <c r="H10" s="491"/>
      <c r="I10" s="491"/>
      <c r="J10" s="491"/>
      <c r="K10" s="491"/>
      <c r="L10" s="491"/>
      <c r="M10" s="491"/>
      <c r="N10" s="491"/>
      <c r="O10" s="491"/>
      <c r="P10" s="491"/>
      <c r="Q10" s="491"/>
      <c r="R10" s="491"/>
      <c r="S10" s="491"/>
      <c r="T10" s="491"/>
      <c r="U10" s="491"/>
      <c r="V10" s="491"/>
      <c r="W10" s="491"/>
      <c r="X10" s="491"/>
      <c r="Y10" s="491"/>
      <c r="Z10" s="491"/>
    </row>
    <row r="11" ht="27.75" customHeight="1">
      <c r="A11" s="491"/>
      <c r="B11" s="487">
        <v>6.0</v>
      </c>
      <c r="C11" s="489" t="s">
        <v>491</v>
      </c>
      <c r="D11" s="490" t="s">
        <v>492</v>
      </c>
      <c r="E11" s="487" t="s">
        <v>493</v>
      </c>
      <c r="F11" s="491"/>
      <c r="G11" s="491"/>
      <c r="H11" s="491"/>
      <c r="I11" s="491"/>
      <c r="J11" s="491"/>
      <c r="K11" s="491"/>
      <c r="L11" s="491"/>
      <c r="M11" s="491"/>
      <c r="N11" s="491"/>
      <c r="O11" s="491"/>
      <c r="P11" s="491"/>
      <c r="Q11" s="491"/>
      <c r="R11" s="491"/>
      <c r="S11" s="491"/>
      <c r="T11" s="491"/>
      <c r="U11" s="491"/>
      <c r="V11" s="491"/>
      <c r="W11" s="491"/>
      <c r="X11" s="491"/>
      <c r="Y11" s="491"/>
      <c r="Z11" s="491"/>
    </row>
    <row r="12" ht="29.25" customHeight="1">
      <c r="A12" s="491"/>
      <c r="B12" s="487">
        <v>7.0</v>
      </c>
      <c r="C12" s="489" t="s">
        <v>494</v>
      </c>
      <c r="D12" s="490" t="s">
        <v>495</v>
      </c>
      <c r="E12" s="487" t="s">
        <v>493</v>
      </c>
      <c r="F12" s="491"/>
      <c r="G12" s="491"/>
      <c r="H12" s="491"/>
      <c r="I12" s="491"/>
      <c r="J12" s="491"/>
      <c r="K12" s="491"/>
      <c r="L12" s="491"/>
      <c r="M12" s="491"/>
      <c r="N12" s="491"/>
      <c r="O12" s="491"/>
      <c r="P12" s="491"/>
      <c r="Q12" s="491"/>
      <c r="R12" s="491"/>
      <c r="S12" s="491"/>
      <c r="T12" s="491"/>
      <c r="U12" s="491"/>
      <c r="V12" s="491"/>
      <c r="W12" s="491"/>
      <c r="X12" s="491"/>
      <c r="Y12" s="491"/>
      <c r="Z12" s="491"/>
    </row>
    <row r="13" ht="29.25" customHeight="1">
      <c r="A13" s="491"/>
      <c r="B13" s="487">
        <v>8.0</v>
      </c>
      <c r="C13" s="489" t="s">
        <v>496</v>
      </c>
      <c r="D13" s="490" t="s">
        <v>497</v>
      </c>
      <c r="E13" s="487" t="s">
        <v>493</v>
      </c>
      <c r="F13" s="491"/>
      <c r="G13" s="491"/>
      <c r="H13" s="491"/>
      <c r="I13" s="491"/>
      <c r="J13" s="491"/>
      <c r="K13" s="491"/>
      <c r="L13" s="491"/>
      <c r="M13" s="491"/>
      <c r="N13" s="491"/>
      <c r="O13" s="491"/>
      <c r="P13" s="491"/>
      <c r="Q13" s="491"/>
      <c r="R13" s="491"/>
      <c r="S13" s="491"/>
      <c r="T13" s="491"/>
      <c r="U13" s="491"/>
      <c r="V13" s="491"/>
      <c r="W13" s="491"/>
      <c r="X13" s="491"/>
      <c r="Y13" s="491"/>
      <c r="Z13" s="491"/>
    </row>
    <row r="14" ht="28.5" customHeight="1">
      <c r="A14" s="491"/>
      <c r="B14" s="487">
        <v>9.0</v>
      </c>
      <c r="C14" s="489" t="s">
        <v>498</v>
      </c>
      <c r="D14" s="490" t="s">
        <v>499</v>
      </c>
      <c r="E14" s="487" t="s">
        <v>493</v>
      </c>
      <c r="F14" s="491"/>
      <c r="G14" s="491"/>
      <c r="H14" s="491"/>
      <c r="I14" s="491"/>
      <c r="J14" s="491"/>
      <c r="K14" s="491"/>
      <c r="L14" s="491"/>
      <c r="M14" s="491"/>
      <c r="N14" s="491"/>
      <c r="O14" s="491"/>
      <c r="P14" s="491"/>
      <c r="Q14" s="491"/>
      <c r="R14" s="491"/>
      <c r="S14" s="491"/>
      <c r="T14" s="491"/>
      <c r="U14" s="491"/>
      <c r="V14" s="491"/>
      <c r="W14" s="491"/>
      <c r="X14" s="491"/>
      <c r="Y14" s="491"/>
      <c r="Z14" s="491"/>
    </row>
    <row r="15" ht="28.5" customHeight="1">
      <c r="A15" s="491"/>
      <c r="B15" s="487">
        <v>10.0</v>
      </c>
      <c r="C15" s="489" t="s">
        <v>500</v>
      </c>
      <c r="D15" s="490" t="s">
        <v>501</v>
      </c>
      <c r="E15" s="487" t="s">
        <v>493</v>
      </c>
      <c r="F15" s="491"/>
      <c r="G15" s="491"/>
      <c r="H15" s="491"/>
      <c r="I15" s="491"/>
      <c r="J15" s="491"/>
      <c r="K15" s="491"/>
      <c r="L15" s="491"/>
      <c r="M15" s="491"/>
      <c r="N15" s="491"/>
      <c r="O15" s="491"/>
      <c r="P15" s="491"/>
      <c r="Q15" s="491"/>
      <c r="R15" s="491"/>
      <c r="S15" s="491"/>
      <c r="T15" s="491"/>
      <c r="U15" s="491"/>
      <c r="V15" s="491"/>
      <c r="W15" s="491"/>
      <c r="X15" s="491"/>
      <c r="Y15" s="491"/>
      <c r="Z15" s="491"/>
    </row>
    <row r="16" ht="28.5" customHeight="1">
      <c r="A16" s="491"/>
      <c r="B16" s="487">
        <v>11.0</v>
      </c>
      <c r="C16" s="489" t="s">
        <v>502</v>
      </c>
      <c r="D16" s="490" t="s">
        <v>503</v>
      </c>
      <c r="E16" s="487" t="s">
        <v>493</v>
      </c>
      <c r="F16" s="491"/>
      <c r="G16" s="491"/>
      <c r="H16" s="491"/>
      <c r="I16" s="491"/>
      <c r="J16" s="491"/>
      <c r="K16" s="491"/>
      <c r="L16" s="491"/>
      <c r="M16" s="491"/>
      <c r="N16" s="491"/>
      <c r="O16" s="491"/>
      <c r="P16" s="491"/>
      <c r="Q16" s="491"/>
      <c r="R16" s="491"/>
      <c r="S16" s="491"/>
      <c r="T16" s="491"/>
      <c r="U16" s="491"/>
      <c r="V16" s="491"/>
      <c r="W16" s="491"/>
      <c r="X16" s="491"/>
      <c r="Y16" s="491"/>
      <c r="Z16" s="491"/>
    </row>
    <row r="17" ht="12.75" customHeight="1">
      <c r="B17" s="492"/>
      <c r="E17" s="482"/>
    </row>
    <row r="18" ht="12.75" customHeight="1">
      <c r="B18" s="492"/>
      <c r="E18" s="482"/>
    </row>
    <row r="19" ht="12.75" customHeight="1">
      <c r="B19" s="492"/>
      <c r="E19" s="482"/>
    </row>
    <row r="20" ht="12.75" customHeight="1">
      <c r="B20" s="492"/>
      <c r="E20" s="482"/>
    </row>
    <row r="21" ht="12.75" customHeight="1">
      <c r="B21" s="492"/>
      <c r="E21" s="482"/>
    </row>
    <row r="22" ht="12.75" customHeight="1">
      <c r="B22" s="492"/>
      <c r="E22" s="482"/>
    </row>
    <row r="23" ht="12.75" customHeight="1">
      <c r="B23" s="492"/>
      <c r="E23" s="482"/>
    </row>
    <row r="24" ht="12.75" customHeight="1">
      <c r="B24" s="492"/>
      <c r="E24" s="482"/>
    </row>
    <row r="25" ht="12.75" customHeight="1">
      <c r="B25" s="492"/>
      <c r="E25" s="482"/>
    </row>
    <row r="26" ht="12.75" customHeight="1">
      <c r="B26" s="492"/>
      <c r="E26" s="482"/>
    </row>
    <row r="27" ht="12.75" customHeight="1">
      <c r="B27" s="492"/>
      <c r="E27" s="482"/>
    </row>
    <row r="28" ht="12.75" customHeight="1">
      <c r="B28" s="492"/>
      <c r="E28" s="482"/>
    </row>
    <row r="29" ht="12.75" customHeight="1">
      <c r="B29" s="492"/>
      <c r="E29" s="482"/>
    </row>
    <row r="30" ht="12.75" customHeight="1">
      <c r="B30" s="492"/>
      <c r="E30" s="482"/>
    </row>
    <row r="31" ht="12.75" customHeight="1">
      <c r="B31" s="492"/>
      <c r="E31" s="482"/>
    </row>
    <row r="32" ht="12.75" customHeight="1">
      <c r="B32" s="492"/>
      <c r="E32" s="482"/>
    </row>
    <row r="33" ht="12.75" customHeight="1">
      <c r="B33" s="492"/>
      <c r="E33" s="482"/>
    </row>
    <row r="34" ht="12.75" customHeight="1">
      <c r="B34" s="492"/>
      <c r="E34" s="482"/>
    </row>
    <row r="35" ht="12.75" customHeight="1">
      <c r="B35" s="492"/>
      <c r="E35" s="482"/>
    </row>
    <row r="36" ht="12.75" customHeight="1">
      <c r="B36" s="492"/>
      <c r="E36" s="482"/>
    </row>
    <row r="37" ht="12.75" customHeight="1">
      <c r="B37" s="492"/>
      <c r="E37" s="482"/>
    </row>
    <row r="38" ht="12.75" customHeight="1">
      <c r="B38" s="492"/>
      <c r="E38" s="482"/>
    </row>
    <row r="39" ht="12.75" customHeight="1">
      <c r="B39" s="492"/>
      <c r="E39" s="482"/>
    </row>
    <row r="40" ht="12.75" customHeight="1">
      <c r="B40" s="492"/>
      <c r="E40" s="482"/>
    </row>
    <row r="41" ht="12.75" customHeight="1">
      <c r="B41" s="492"/>
      <c r="E41" s="482"/>
    </row>
    <row r="42" ht="12.75" customHeight="1">
      <c r="B42" s="492"/>
      <c r="E42" s="482"/>
    </row>
    <row r="43" ht="12.75" customHeight="1">
      <c r="B43" s="492"/>
      <c r="E43" s="482"/>
    </row>
    <row r="44" ht="12.75" customHeight="1">
      <c r="B44" s="492"/>
      <c r="E44" s="482"/>
    </row>
    <row r="45" ht="12.75" customHeight="1">
      <c r="B45" s="492"/>
      <c r="E45" s="482"/>
    </row>
    <row r="46" ht="12.75" customHeight="1">
      <c r="B46" s="492"/>
      <c r="E46" s="482"/>
    </row>
    <row r="47" ht="12.75" customHeight="1">
      <c r="B47" s="492"/>
      <c r="E47" s="482"/>
    </row>
    <row r="48" ht="12.75" customHeight="1">
      <c r="B48" s="492"/>
      <c r="E48" s="482"/>
    </row>
    <row r="49" ht="12.75" customHeight="1">
      <c r="B49" s="492"/>
      <c r="E49" s="482"/>
    </row>
    <row r="50" ht="12.75" customHeight="1">
      <c r="E50" s="482"/>
    </row>
    <row r="51" ht="12.75" customHeight="1">
      <c r="E51" s="482"/>
    </row>
    <row r="52" ht="12.75" customHeight="1">
      <c r="E52" s="482"/>
    </row>
    <row r="53" ht="12.75" customHeight="1">
      <c r="E53" s="482"/>
    </row>
    <row r="54" ht="12.75" customHeight="1">
      <c r="E54" s="482"/>
    </row>
    <row r="55" ht="12.75" customHeight="1">
      <c r="E55" s="482"/>
    </row>
    <row r="56" ht="12.75" customHeight="1">
      <c r="E56" s="482"/>
    </row>
    <row r="57" ht="12.75" customHeight="1">
      <c r="E57" s="482"/>
    </row>
    <row r="58" ht="12.75" customHeight="1">
      <c r="E58" s="482"/>
    </row>
    <row r="59" ht="12.75" customHeight="1">
      <c r="E59" s="482"/>
    </row>
    <row r="60" ht="12.75" customHeight="1">
      <c r="E60" s="482"/>
    </row>
    <row r="61" ht="12.75" customHeight="1">
      <c r="E61" s="482"/>
    </row>
    <row r="62" ht="12.75" customHeight="1">
      <c r="E62" s="482"/>
    </row>
    <row r="63" ht="12.75" customHeight="1">
      <c r="E63" s="482"/>
    </row>
    <row r="64" ht="12.75" customHeight="1">
      <c r="E64" s="482"/>
    </row>
    <row r="65" ht="12.75" customHeight="1">
      <c r="E65" s="482"/>
    </row>
    <row r="66" ht="12.75" customHeight="1">
      <c r="E66" s="482"/>
    </row>
    <row r="67" ht="12.75" customHeight="1">
      <c r="E67" s="482"/>
    </row>
    <row r="68" ht="12.75" customHeight="1">
      <c r="E68" s="482"/>
    </row>
    <row r="69" ht="12.75" customHeight="1">
      <c r="E69" s="482"/>
    </row>
    <row r="70" ht="12.75" customHeight="1">
      <c r="E70" s="482"/>
    </row>
    <row r="71" ht="12.75" customHeight="1">
      <c r="E71" s="482"/>
    </row>
    <row r="72" ht="12.75" customHeight="1">
      <c r="E72" s="482"/>
    </row>
    <row r="73" ht="12.75" customHeight="1">
      <c r="E73" s="482"/>
    </row>
    <row r="74" ht="12.75" customHeight="1">
      <c r="E74" s="482"/>
    </row>
    <row r="75" ht="12.75" customHeight="1">
      <c r="E75" s="482"/>
    </row>
    <row r="76" ht="12.75" customHeight="1">
      <c r="E76" s="482"/>
    </row>
    <row r="77" ht="12.75" customHeight="1">
      <c r="E77" s="482"/>
    </row>
    <row r="78" ht="12.75" customHeight="1">
      <c r="E78" s="482"/>
    </row>
    <row r="79" ht="12.75" customHeight="1">
      <c r="E79" s="482"/>
    </row>
    <row r="80" ht="12.75" customHeight="1">
      <c r="E80" s="482"/>
    </row>
    <row r="81" ht="12.75" customHeight="1">
      <c r="E81" s="482"/>
    </row>
    <row r="82" ht="12.75" customHeight="1">
      <c r="E82" s="482"/>
    </row>
    <row r="83" ht="12.75" customHeight="1">
      <c r="E83" s="482"/>
    </row>
    <row r="84" ht="12.75" customHeight="1">
      <c r="E84" s="482"/>
    </row>
    <row r="85" ht="12.75" customHeight="1">
      <c r="E85" s="482"/>
    </row>
    <row r="86" ht="12.75" customHeight="1">
      <c r="E86" s="482"/>
    </row>
    <row r="87" ht="12.75" customHeight="1">
      <c r="E87" s="482"/>
    </row>
    <row r="88" ht="12.75" customHeight="1">
      <c r="E88" s="482"/>
    </row>
    <row r="89" ht="12.75" customHeight="1">
      <c r="E89" s="482"/>
    </row>
    <row r="90" ht="12.75" customHeight="1">
      <c r="E90" s="482"/>
    </row>
    <row r="91" ht="12.75" customHeight="1">
      <c r="E91" s="482"/>
    </row>
    <row r="92" ht="12.75" customHeight="1">
      <c r="E92" s="482"/>
    </row>
    <row r="93" ht="12.75" customHeight="1">
      <c r="E93" s="482"/>
    </row>
    <row r="94" ht="12.75" customHeight="1">
      <c r="E94" s="482"/>
    </row>
    <row r="95" ht="12.75" customHeight="1">
      <c r="E95" s="482"/>
    </row>
    <row r="96" ht="12.75" customHeight="1">
      <c r="E96" s="482"/>
    </row>
    <row r="97" ht="12.75" customHeight="1">
      <c r="E97" s="482"/>
    </row>
    <row r="98" ht="12.75" customHeight="1">
      <c r="E98" s="482"/>
    </row>
    <row r="99" ht="12.75" customHeight="1">
      <c r="E99" s="482"/>
    </row>
    <row r="100" ht="12.75" customHeight="1">
      <c r="E100" s="482"/>
    </row>
    <row r="101" ht="12.75" customHeight="1">
      <c r="E101" s="482"/>
    </row>
    <row r="102" ht="12.75" customHeight="1">
      <c r="E102" s="482"/>
    </row>
    <row r="103" ht="12.75" customHeight="1">
      <c r="E103" s="482"/>
    </row>
    <row r="104" ht="12.75" customHeight="1">
      <c r="E104" s="482"/>
    </row>
    <row r="105" ht="12.75" customHeight="1">
      <c r="E105" s="482"/>
    </row>
    <row r="106" ht="12.75" customHeight="1">
      <c r="E106" s="482"/>
    </row>
    <row r="107" ht="12.75" customHeight="1">
      <c r="E107" s="482"/>
    </row>
    <row r="108" ht="12.75" customHeight="1">
      <c r="E108" s="482"/>
    </row>
    <row r="109" ht="12.75" customHeight="1">
      <c r="E109" s="482"/>
    </row>
    <row r="110" ht="12.75" customHeight="1">
      <c r="E110" s="482"/>
    </row>
    <row r="111" ht="12.75" customHeight="1">
      <c r="E111" s="482"/>
    </row>
    <row r="112" ht="12.75" customHeight="1">
      <c r="E112" s="482"/>
    </row>
    <row r="113" ht="12.75" customHeight="1">
      <c r="E113" s="482"/>
    </row>
    <row r="114" ht="12.75" customHeight="1">
      <c r="E114" s="482"/>
    </row>
    <row r="115" ht="12.75" customHeight="1">
      <c r="E115" s="482"/>
    </row>
    <row r="116" ht="12.75" customHeight="1">
      <c r="E116" s="482"/>
    </row>
    <row r="117" ht="12.75" customHeight="1">
      <c r="E117" s="482"/>
    </row>
    <row r="118" ht="12.75" customHeight="1">
      <c r="E118" s="482"/>
    </row>
    <row r="119" ht="12.75" customHeight="1">
      <c r="E119" s="482"/>
    </row>
    <row r="120" ht="12.75" customHeight="1">
      <c r="E120" s="482"/>
    </row>
    <row r="121" ht="12.75" customHeight="1">
      <c r="E121" s="482"/>
    </row>
    <row r="122" ht="12.75" customHeight="1">
      <c r="E122" s="482"/>
    </row>
    <row r="123" ht="12.75" customHeight="1">
      <c r="E123" s="482"/>
    </row>
    <row r="124" ht="12.75" customHeight="1">
      <c r="E124" s="482"/>
    </row>
    <row r="125" ht="12.75" customHeight="1">
      <c r="E125" s="482"/>
    </row>
    <row r="126" ht="12.75" customHeight="1">
      <c r="E126" s="482"/>
    </row>
    <row r="127" ht="12.75" customHeight="1">
      <c r="E127" s="482"/>
    </row>
    <row r="128" ht="12.75" customHeight="1">
      <c r="E128" s="482"/>
    </row>
    <row r="129" ht="12.75" customHeight="1">
      <c r="E129" s="482"/>
    </row>
    <row r="130" ht="12.75" customHeight="1">
      <c r="E130" s="482"/>
    </row>
    <row r="131" ht="12.75" customHeight="1">
      <c r="E131" s="482"/>
    </row>
    <row r="132" ht="12.75" customHeight="1">
      <c r="E132" s="482"/>
    </row>
    <row r="133" ht="12.75" customHeight="1">
      <c r="E133" s="482"/>
    </row>
    <row r="134" ht="12.75" customHeight="1">
      <c r="E134" s="482"/>
    </row>
    <row r="135" ht="12.75" customHeight="1">
      <c r="E135" s="482"/>
    </row>
    <row r="136" ht="12.75" customHeight="1">
      <c r="E136" s="482"/>
    </row>
    <row r="137" ht="12.75" customHeight="1">
      <c r="E137" s="482"/>
    </row>
    <row r="138" ht="12.75" customHeight="1">
      <c r="E138" s="482"/>
    </row>
    <row r="139" ht="12.75" customHeight="1">
      <c r="E139" s="482"/>
    </row>
    <row r="140" ht="12.75" customHeight="1">
      <c r="E140" s="482"/>
    </row>
    <row r="141" ht="12.75" customHeight="1">
      <c r="E141" s="482"/>
    </row>
    <row r="142" ht="12.75" customHeight="1">
      <c r="E142" s="482"/>
    </row>
    <row r="143" ht="12.75" customHeight="1">
      <c r="E143" s="482"/>
    </row>
    <row r="144" ht="12.75" customHeight="1">
      <c r="E144" s="482"/>
    </row>
    <row r="145" ht="12.75" customHeight="1">
      <c r="E145" s="482"/>
    </row>
    <row r="146" ht="12.75" customHeight="1">
      <c r="E146" s="482"/>
    </row>
    <row r="147" ht="12.75" customHeight="1">
      <c r="E147" s="482"/>
    </row>
    <row r="148" ht="12.75" customHeight="1">
      <c r="E148" s="482"/>
    </row>
    <row r="149" ht="12.75" customHeight="1">
      <c r="E149" s="482"/>
    </row>
    <row r="150" ht="12.75" customHeight="1">
      <c r="E150" s="482"/>
    </row>
    <row r="151" ht="12.75" customHeight="1">
      <c r="E151" s="482"/>
    </row>
    <row r="152" ht="12.75" customHeight="1">
      <c r="E152" s="482"/>
    </row>
    <row r="153" ht="12.75" customHeight="1">
      <c r="E153" s="482"/>
    </row>
    <row r="154" ht="12.75" customHeight="1">
      <c r="E154" s="482"/>
    </row>
    <row r="155" ht="12.75" customHeight="1">
      <c r="E155" s="482"/>
    </row>
    <row r="156" ht="12.75" customHeight="1">
      <c r="E156" s="482"/>
    </row>
    <row r="157" ht="12.75" customHeight="1">
      <c r="E157" s="482"/>
    </row>
    <row r="158" ht="12.75" customHeight="1">
      <c r="E158" s="482"/>
    </row>
    <row r="159" ht="12.75" customHeight="1">
      <c r="E159" s="482"/>
    </row>
    <row r="160" ht="12.75" customHeight="1">
      <c r="E160" s="482"/>
    </row>
    <row r="161" ht="12.75" customHeight="1">
      <c r="E161" s="482"/>
    </row>
    <row r="162" ht="12.75" customHeight="1">
      <c r="E162" s="482"/>
    </row>
    <row r="163" ht="12.75" customHeight="1">
      <c r="E163" s="482"/>
    </row>
    <row r="164" ht="12.75" customHeight="1">
      <c r="E164" s="482"/>
    </row>
    <row r="165" ht="12.75" customHeight="1">
      <c r="E165" s="482"/>
    </row>
    <row r="166" ht="12.75" customHeight="1">
      <c r="E166" s="482"/>
    </row>
    <row r="167" ht="12.75" customHeight="1">
      <c r="E167" s="482"/>
    </row>
    <row r="168" ht="12.75" customHeight="1">
      <c r="E168" s="482"/>
    </row>
    <row r="169" ht="12.75" customHeight="1">
      <c r="E169" s="482"/>
    </row>
    <row r="170" ht="12.75" customHeight="1">
      <c r="E170" s="482"/>
    </row>
    <row r="171" ht="12.75" customHeight="1">
      <c r="E171" s="482"/>
    </row>
    <row r="172" ht="12.75" customHeight="1">
      <c r="E172" s="482"/>
    </row>
    <row r="173" ht="12.75" customHeight="1">
      <c r="E173" s="482"/>
    </row>
    <row r="174" ht="12.75" customHeight="1">
      <c r="E174" s="482"/>
    </row>
    <row r="175" ht="12.75" customHeight="1">
      <c r="E175" s="482"/>
    </row>
    <row r="176" ht="12.75" customHeight="1">
      <c r="E176" s="482"/>
    </row>
    <row r="177" ht="12.75" customHeight="1">
      <c r="E177" s="482"/>
    </row>
    <row r="178" ht="12.75" customHeight="1">
      <c r="E178" s="482"/>
    </row>
    <row r="179" ht="12.75" customHeight="1">
      <c r="E179" s="482"/>
    </row>
    <row r="180" ht="12.75" customHeight="1">
      <c r="E180" s="482"/>
    </row>
    <row r="181" ht="12.75" customHeight="1">
      <c r="E181" s="482"/>
    </row>
    <row r="182" ht="12.75" customHeight="1">
      <c r="E182" s="482"/>
    </row>
    <row r="183" ht="12.75" customHeight="1">
      <c r="E183" s="482"/>
    </row>
    <row r="184" ht="12.75" customHeight="1">
      <c r="E184" s="482"/>
    </row>
    <row r="185" ht="12.75" customHeight="1">
      <c r="E185" s="482"/>
    </row>
    <row r="186" ht="12.75" customHeight="1">
      <c r="E186" s="482"/>
    </row>
    <row r="187" ht="12.75" customHeight="1">
      <c r="E187" s="482"/>
    </row>
    <row r="188" ht="12.75" customHeight="1">
      <c r="E188" s="482"/>
    </row>
    <row r="189" ht="12.75" customHeight="1">
      <c r="E189" s="482"/>
    </row>
    <row r="190" ht="12.75" customHeight="1">
      <c r="E190" s="482"/>
    </row>
    <row r="191" ht="12.75" customHeight="1">
      <c r="E191" s="482"/>
    </row>
    <row r="192" ht="12.75" customHeight="1">
      <c r="E192" s="482"/>
    </row>
    <row r="193" ht="12.75" customHeight="1">
      <c r="E193" s="482"/>
    </row>
    <row r="194" ht="12.75" customHeight="1">
      <c r="E194" s="482"/>
    </row>
    <row r="195" ht="12.75" customHeight="1">
      <c r="E195" s="482"/>
    </row>
    <row r="196" ht="12.75" customHeight="1">
      <c r="E196" s="482"/>
    </row>
    <row r="197" ht="12.75" customHeight="1">
      <c r="E197" s="482"/>
    </row>
    <row r="198" ht="12.75" customHeight="1">
      <c r="E198" s="482"/>
    </row>
    <row r="199" ht="12.75" customHeight="1">
      <c r="E199" s="482"/>
    </row>
    <row r="200" ht="12.75" customHeight="1">
      <c r="E200" s="482"/>
    </row>
    <row r="201" ht="12.75" customHeight="1">
      <c r="E201" s="482"/>
    </row>
    <row r="202" ht="12.75" customHeight="1">
      <c r="E202" s="482"/>
    </row>
    <row r="203" ht="12.75" customHeight="1">
      <c r="E203" s="482"/>
    </row>
    <row r="204" ht="12.75" customHeight="1">
      <c r="E204" s="482"/>
    </row>
    <row r="205" ht="12.75" customHeight="1">
      <c r="E205" s="482"/>
    </row>
    <row r="206" ht="12.75" customHeight="1">
      <c r="E206" s="482"/>
    </row>
    <row r="207" ht="12.75" customHeight="1">
      <c r="E207" s="482"/>
    </row>
    <row r="208" ht="12.75" customHeight="1">
      <c r="E208" s="482"/>
    </row>
    <row r="209" ht="12.75" customHeight="1">
      <c r="E209" s="482"/>
    </row>
    <row r="210" ht="12.75" customHeight="1">
      <c r="E210" s="482"/>
    </row>
    <row r="211" ht="12.75" customHeight="1">
      <c r="E211" s="482"/>
    </row>
    <row r="212" ht="12.75" customHeight="1">
      <c r="E212" s="482"/>
    </row>
    <row r="213" ht="12.75" customHeight="1">
      <c r="E213" s="482"/>
    </row>
    <row r="214" ht="12.75" customHeight="1">
      <c r="E214" s="482"/>
    </row>
    <row r="215" ht="12.75" customHeight="1">
      <c r="E215" s="482"/>
    </row>
    <row r="216" ht="12.75" customHeight="1">
      <c r="E216" s="482"/>
    </row>
    <row r="217" ht="12.75" customHeight="1">
      <c r="E217" s="482"/>
    </row>
    <row r="218" ht="12.75" customHeight="1">
      <c r="E218" s="482"/>
    </row>
    <row r="219" ht="12.75" customHeight="1">
      <c r="E219" s="482"/>
    </row>
    <row r="220" ht="12.75" customHeight="1">
      <c r="E220" s="482"/>
    </row>
    <row r="221" ht="12.75" customHeight="1">
      <c r="E221" s="482"/>
    </row>
    <row r="222" ht="12.75" customHeight="1">
      <c r="E222" s="482"/>
    </row>
    <row r="223" ht="12.75" customHeight="1">
      <c r="E223" s="482"/>
    </row>
    <row r="224" ht="12.75" customHeight="1">
      <c r="E224" s="482"/>
    </row>
    <row r="225" ht="12.75" customHeight="1">
      <c r="E225" s="482"/>
    </row>
    <row r="226" ht="12.75" customHeight="1">
      <c r="E226" s="482"/>
    </row>
    <row r="227" ht="12.75" customHeight="1">
      <c r="E227" s="482"/>
    </row>
    <row r="228" ht="12.75" customHeight="1">
      <c r="E228" s="482"/>
    </row>
    <row r="229" ht="12.75" customHeight="1">
      <c r="E229" s="482"/>
    </row>
    <row r="230" ht="12.75" customHeight="1">
      <c r="E230" s="482"/>
    </row>
    <row r="231" ht="12.75" customHeight="1">
      <c r="E231" s="482"/>
    </row>
    <row r="232" ht="12.75" customHeight="1">
      <c r="E232" s="482"/>
    </row>
    <row r="233" ht="12.75" customHeight="1">
      <c r="E233" s="482"/>
    </row>
    <row r="234" ht="12.75" customHeight="1">
      <c r="E234" s="482"/>
    </row>
    <row r="235" ht="12.75" customHeight="1">
      <c r="E235" s="482"/>
    </row>
    <row r="236" ht="12.75" customHeight="1">
      <c r="E236" s="482"/>
    </row>
    <row r="237" ht="12.75" customHeight="1">
      <c r="E237" s="482"/>
    </row>
    <row r="238" ht="12.75" customHeight="1">
      <c r="E238" s="482"/>
    </row>
    <row r="239" ht="12.75" customHeight="1">
      <c r="E239" s="482"/>
    </row>
    <row r="240" ht="12.75" customHeight="1">
      <c r="E240" s="482"/>
    </row>
    <row r="241" ht="12.75" customHeight="1">
      <c r="E241" s="482"/>
    </row>
    <row r="242" ht="12.75" customHeight="1">
      <c r="E242" s="482"/>
    </row>
    <row r="243" ht="12.75" customHeight="1">
      <c r="E243" s="482"/>
    </row>
    <row r="244" ht="12.75" customHeight="1">
      <c r="E244" s="482"/>
    </row>
    <row r="245" ht="12.75" customHeight="1">
      <c r="E245" s="482"/>
    </row>
    <row r="246" ht="12.75" customHeight="1">
      <c r="E246" s="482"/>
    </row>
    <row r="247" ht="12.75" customHeight="1">
      <c r="E247" s="482"/>
    </row>
    <row r="248" ht="12.75" customHeight="1">
      <c r="E248" s="482"/>
    </row>
    <row r="249" ht="12.75" customHeight="1">
      <c r="E249" s="482"/>
    </row>
    <row r="250" ht="12.75" customHeight="1">
      <c r="E250" s="482"/>
    </row>
    <row r="251" ht="12.75" customHeight="1">
      <c r="E251" s="482"/>
    </row>
    <row r="252" ht="12.75" customHeight="1">
      <c r="E252" s="482"/>
    </row>
    <row r="253" ht="12.75" customHeight="1">
      <c r="E253" s="482"/>
    </row>
    <row r="254" ht="12.75" customHeight="1">
      <c r="E254" s="482"/>
    </row>
    <row r="255" ht="12.75" customHeight="1">
      <c r="E255" s="482"/>
    </row>
    <row r="256" ht="12.75" customHeight="1">
      <c r="E256" s="482"/>
    </row>
    <row r="257" ht="12.75" customHeight="1">
      <c r="E257" s="482"/>
    </row>
    <row r="258" ht="12.75" customHeight="1">
      <c r="E258" s="482"/>
    </row>
    <row r="259" ht="12.75" customHeight="1">
      <c r="E259" s="482"/>
    </row>
    <row r="260" ht="12.75" customHeight="1">
      <c r="E260" s="482"/>
    </row>
    <row r="261" ht="12.75" customHeight="1">
      <c r="E261" s="482"/>
    </row>
    <row r="262" ht="12.75" customHeight="1">
      <c r="E262" s="482"/>
    </row>
    <row r="263" ht="12.75" customHeight="1">
      <c r="E263" s="482"/>
    </row>
    <row r="264" ht="12.75" customHeight="1">
      <c r="E264" s="482"/>
    </row>
    <row r="265" ht="12.75" customHeight="1">
      <c r="E265" s="482"/>
    </row>
    <row r="266" ht="12.75" customHeight="1">
      <c r="E266" s="482"/>
    </row>
    <row r="267" ht="12.75" customHeight="1">
      <c r="E267" s="482"/>
    </row>
    <row r="268" ht="12.75" customHeight="1">
      <c r="E268" s="482"/>
    </row>
    <row r="269" ht="12.75" customHeight="1">
      <c r="E269" s="482"/>
    </row>
    <row r="270" ht="12.75" customHeight="1">
      <c r="E270" s="482"/>
    </row>
    <row r="271" ht="12.75" customHeight="1">
      <c r="E271" s="482"/>
    </row>
    <row r="272" ht="12.75" customHeight="1">
      <c r="E272" s="482"/>
    </row>
    <row r="273" ht="12.75" customHeight="1">
      <c r="E273" s="482"/>
    </row>
    <row r="274" ht="12.75" customHeight="1">
      <c r="E274" s="482"/>
    </row>
    <row r="275" ht="12.75" customHeight="1">
      <c r="E275" s="482"/>
    </row>
    <row r="276" ht="12.75" customHeight="1">
      <c r="E276" s="482"/>
    </row>
    <row r="277" ht="12.75" customHeight="1">
      <c r="E277" s="482"/>
    </row>
    <row r="278" ht="12.75" customHeight="1">
      <c r="E278" s="482"/>
    </row>
    <row r="279" ht="12.75" customHeight="1">
      <c r="E279" s="482"/>
    </row>
    <row r="280" ht="12.75" customHeight="1">
      <c r="E280" s="482"/>
    </row>
    <row r="281" ht="12.75" customHeight="1">
      <c r="E281" s="482"/>
    </row>
    <row r="282" ht="12.75" customHeight="1">
      <c r="E282" s="482"/>
    </row>
    <row r="283" ht="12.75" customHeight="1">
      <c r="E283" s="482"/>
    </row>
    <row r="284" ht="12.75" customHeight="1">
      <c r="E284" s="482"/>
    </row>
    <row r="285" ht="12.75" customHeight="1">
      <c r="E285" s="482"/>
    </row>
    <row r="286" ht="12.75" customHeight="1">
      <c r="E286" s="482"/>
    </row>
    <row r="287" ht="12.75" customHeight="1">
      <c r="E287" s="482"/>
    </row>
    <row r="288" ht="12.75" customHeight="1">
      <c r="E288" s="482"/>
    </row>
    <row r="289" ht="12.75" customHeight="1">
      <c r="E289" s="482"/>
    </row>
    <row r="290" ht="12.75" customHeight="1">
      <c r="E290" s="482"/>
    </row>
    <row r="291" ht="12.75" customHeight="1">
      <c r="E291" s="482"/>
    </row>
    <row r="292" ht="12.75" customHeight="1">
      <c r="E292" s="482"/>
    </row>
    <row r="293" ht="12.75" customHeight="1">
      <c r="E293" s="482"/>
    </row>
    <row r="294" ht="12.75" customHeight="1">
      <c r="E294" s="482"/>
    </row>
    <row r="295" ht="12.75" customHeight="1">
      <c r="E295" s="482"/>
    </row>
    <row r="296" ht="12.75" customHeight="1">
      <c r="E296" s="482"/>
    </row>
    <row r="297" ht="12.75" customHeight="1">
      <c r="E297" s="482"/>
    </row>
    <row r="298" ht="12.75" customHeight="1">
      <c r="E298" s="482"/>
    </row>
    <row r="299" ht="12.75" customHeight="1">
      <c r="E299" s="482"/>
    </row>
    <row r="300" ht="12.75" customHeight="1">
      <c r="E300" s="482"/>
    </row>
    <row r="301" ht="12.75" customHeight="1">
      <c r="E301" s="482"/>
    </row>
    <row r="302" ht="12.75" customHeight="1">
      <c r="E302" s="482"/>
    </row>
    <row r="303" ht="12.75" customHeight="1">
      <c r="E303" s="482"/>
    </row>
    <row r="304" ht="12.75" customHeight="1">
      <c r="E304" s="482"/>
    </row>
    <row r="305" ht="12.75" customHeight="1">
      <c r="E305" s="482"/>
    </row>
    <row r="306" ht="12.75" customHeight="1">
      <c r="E306" s="482"/>
    </row>
    <row r="307" ht="12.75" customHeight="1">
      <c r="E307" s="482"/>
    </row>
    <row r="308" ht="12.75" customHeight="1">
      <c r="E308" s="482"/>
    </row>
    <row r="309" ht="12.75" customHeight="1">
      <c r="E309" s="482"/>
    </row>
    <row r="310" ht="12.75" customHeight="1">
      <c r="E310" s="482"/>
    </row>
    <row r="311" ht="12.75" customHeight="1">
      <c r="E311" s="482"/>
    </row>
    <row r="312" ht="12.75" customHeight="1">
      <c r="E312" s="482"/>
    </row>
    <row r="313" ht="12.75" customHeight="1">
      <c r="E313" s="482"/>
    </row>
    <row r="314" ht="12.75" customHeight="1">
      <c r="E314" s="482"/>
    </row>
    <row r="315" ht="12.75" customHeight="1">
      <c r="E315" s="482"/>
    </row>
    <row r="316" ht="12.75" customHeight="1">
      <c r="E316" s="482"/>
    </row>
    <row r="317" ht="12.75" customHeight="1">
      <c r="E317" s="482"/>
    </row>
    <row r="318" ht="12.75" customHeight="1">
      <c r="E318" s="482"/>
    </row>
    <row r="319" ht="12.75" customHeight="1">
      <c r="E319" s="482"/>
    </row>
    <row r="320" ht="12.75" customHeight="1">
      <c r="E320" s="482"/>
    </row>
    <row r="321" ht="12.75" customHeight="1">
      <c r="E321" s="482"/>
    </row>
    <row r="322" ht="12.75" customHeight="1">
      <c r="E322" s="482"/>
    </row>
    <row r="323" ht="12.75" customHeight="1">
      <c r="E323" s="482"/>
    </row>
    <row r="324" ht="12.75" customHeight="1">
      <c r="E324" s="482"/>
    </row>
    <row r="325" ht="12.75" customHeight="1">
      <c r="E325" s="482"/>
    </row>
    <row r="326" ht="12.75" customHeight="1">
      <c r="E326" s="482"/>
    </row>
    <row r="327" ht="12.75" customHeight="1">
      <c r="E327" s="482"/>
    </row>
    <row r="328" ht="12.75" customHeight="1">
      <c r="E328" s="482"/>
    </row>
    <row r="329" ht="12.75" customHeight="1">
      <c r="E329" s="482"/>
    </row>
    <row r="330" ht="12.75" customHeight="1">
      <c r="E330" s="482"/>
    </row>
    <row r="331" ht="12.75" customHeight="1">
      <c r="E331" s="482"/>
    </row>
    <row r="332" ht="12.75" customHeight="1">
      <c r="E332" s="482"/>
    </row>
    <row r="333" ht="12.75" customHeight="1">
      <c r="E333" s="482"/>
    </row>
    <row r="334" ht="12.75" customHeight="1">
      <c r="E334" s="482"/>
    </row>
    <row r="335" ht="12.75" customHeight="1">
      <c r="E335" s="482"/>
    </row>
    <row r="336" ht="12.75" customHeight="1">
      <c r="E336" s="482"/>
    </row>
    <row r="337" ht="12.75" customHeight="1">
      <c r="E337" s="482"/>
    </row>
    <row r="338" ht="12.75" customHeight="1">
      <c r="E338" s="482"/>
    </row>
    <row r="339" ht="12.75" customHeight="1">
      <c r="E339" s="482"/>
    </row>
    <row r="340" ht="12.75" customHeight="1">
      <c r="E340" s="482"/>
    </row>
    <row r="341" ht="12.75" customHeight="1">
      <c r="E341" s="482"/>
    </row>
    <row r="342" ht="12.75" customHeight="1">
      <c r="E342" s="482"/>
    </row>
    <row r="343" ht="12.75" customHeight="1">
      <c r="E343" s="482"/>
    </row>
    <row r="344" ht="12.75" customHeight="1">
      <c r="E344" s="482"/>
    </row>
    <row r="345" ht="12.75" customHeight="1">
      <c r="E345" s="482"/>
    </row>
    <row r="346" ht="12.75" customHeight="1">
      <c r="E346" s="482"/>
    </row>
    <row r="347" ht="12.75" customHeight="1">
      <c r="E347" s="482"/>
    </row>
    <row r="348" ht="12.75" customHeight="1">
      <c r="E348" s="482"/>
    </row>
    <row r="349" ht="12.75" customHeight="1">
      <c r="E349" s="482"/>
    </row>
    <row r="350" ht="12.75" customHeight="1">
      <c r="E350" s="482"/>
    </row>
    <row r="351" ht="12.75" customHeight="1">
      <c r="E351" s="482"/>
    </row>
    <row r="352" ht="12.75" customHeight="1">
      <c r="E352" s="482"/>
    </row>
    <row r="353" ht="12.75" customHeight="1">
      <c r="E353" s="482"/>
    </row>
    <row r="354" ht="12.75" customHeight="1">
      <c r="E354" s="482"/>
    </row>
    <row r="355" ht="12.75" customHeight="1">
      <c r="E355" s="482"/>
    </row>
    <row r="356" ht="12.75" customHeight="1">
      <c r="E356" s="482"/>
    </row>
    <row r="357" ht="12.75" customHeight="1">
      <c r="E357" s="482"/>
    </row>
    <row r="358" ht="12.75" customHeight="1">
      <c r="E358" s="482"/>
    </row>
    <row r="359" ht="12.75" customHeight="1">
      <c r="E359" s="482"/>
    </row>
    <row r="360" ht="12.75" customHeight="1">
      <c r="E360" s="482"/>
    </row>
    <row r="361" ht="12.75" customHeight="1">
      <c r="E361" s="482"/>
    </row>
    <row r="362" ht="12.75" customHeight="1">
      <c r="E362" s="482"/>
    </row>
    <row r="363" ht="12.75" customHeight="1">
      <c r="E363" s="482"/>
    </row>
    <row r="364" ht="12.75" customHeight="1">
      <c r="E364" s="482"/>
    </row>
    <row r="365" ht="12.75" customHeight="1">
      <c r="E365" s="482"/>
    </row>
    <row r="366" ht="12.75" customHeight="1">
      <c r="E366" s="482"/>
    </row>
    <row r="367" ht="12.75" customHeight="1">
      <c r="E367" s="482"/>
    </row>
    <row r="368" ht="12.75" customHeight="1">
      <c r="E368" s="482"/>
    </row>
    <row r="369" ht="12.75" customHeight="1">
      <c r="E369" s="482"/>
    </row>
    <row r="370" ht="12.75" customHeight="1">
      <c r="E370" s="482"/>
    </row>
    <row r="371" ht="12.75" customHeight="1">
      <c r="E371" s="482"/>
    </row>
    <row r="372" ht="12.75" customHeight="1">
      <c r="E372" s="482"/>
    </row>
    <row r="373" ht="12.75" customHeight="1">
      <c r="E373" s="482"/>
    </row>
    <row r="374" ht="12.75" customHeight="1">
      <c r="E374" s="482"/>
    </row>
    <row r="375" ht="12.75" customHeight="1">
      <c r="E375" s="482"/>
    </row>
    <row r="376" ht="12.75" customHeight="1">
      <c r="E376" s="482"/>
    </row>
    <row r="377" ht="12.75" customHeight="1">
      <c r="E377" s="482"/>
    </row>
    <row r="378" ht="12.75" customHeight="1">
      <c r="E378" s="482"/>
    </row>
    <row r="379" ht="12.75" customHeight="1">
      <c r="E379" s="482"/>
    </row>
    <row r="380" ht="12.75" customHeight="1">
      <c r="E380" s="482"/>
    </row>
    <row r="381" ht="12.75" customHeight="1">
      <c r="E381" s="482"/>
    </row>
    <row r="382" ht="12.75" customHeight="1">
      <c r="E382" s="482"/>
    </row>
    <row r="383" ht="12.75" customHeight="1">
      <c r="E383" s="482"/>
    </row>
    <row r="384" ht="12.75" customHeight="1">
      <c r="E384" s="482"/>
    </row>
    <row r="385" ht="12.75" customHeight="1">
      <c r="E385" s="482"/>
    </row>
    <row r="386" ht="12.75" customHeight="1">
      <c r="E386" s="482"/>
    </row>
    <row r="387" ht="12.75" customHeight="1">
      <c r="E387" s="482"/>
    </row>
    <row r="388" ht="12.75" customHeight="1">
      <c r="E388" s="482"/>
    </row>
    <row r="389" ht="12.75" customHeight="1">
      <c r="E389" s="482"/>
    </row>
    <row r="390" ht="12.75" customHeight="1">
      <c r="E390" s="482"/>
    </row>
    <row r="391" ht="12.75" customHeight="1">
      <c r="E391" s="482"/>
    </row>
    <row r="392" ht="12.75" customHeight="1">
      <c r="E392" s="482"/>
    </row>
    <row r="393" ht="12.75" customHeight="1">
      <c r="E393" s="482"/>
    </row>
    <row r="394" ht="12.75" customHeight="1">
      <c r="E394" s="482"/>
    </row>
    <row r="395" ht="12.75" customHeight="1">
      <c r="E395" s="482"/>
    </row>
    <row r="396" ht="12.75" customHeight="1">
      <c r="E396" s="482"/>
    </row>
    <row r="397" ht="12.75" customHeight="1">
      <c r="E397" s="482"/>
    </row>
    <row r="398" ht="12.75" customHeight="1">
      <c r="E398" s="482"/>
    </row>
    <row r="399" ht="12.75" customHeight="1">
      <c r="E399" s="482"/>
    </row>
    <row r="400" ht="12.75" customHeight="1">
      <c r="E400" s="482"/>
    </row>
    <row r="401" ht="12.75" customHeight="1">
      <c r="E401" s="482"/>
    </row>
    <row r="402" ht="12.75" customHeight="1">
      <c r="E402" s="482"/>
    </row>
    <row r="403" ht="12.75" customHeight="1">
      <c r="E403" s="482"/>
    </row>
    <row r="404" ht="12.75" customHeight="1">
      <c r="E404" s="482"/>
    </row>
    <row r="405" ht="12.75" customHeight="1">
      <c r="E405" s="482"/>
    </row>
    <row r="406" ht="12.75" customHeight="1">
      <c r="E406" s="482"/>
    </row>
    <row r="407" ht="12.75" customHeight="1">
      <c r="E407" s="482"/>
    </row>
    <row r="408" ht="12.75" customHeight="1">
      <c r="E408" s="482"/>
    </row>
    <row r="409" ht="12.75" customHeight="1">
      <c r="E409" s="482"/>
    </row>
    <row r="410" ht="12.75" customHeight="1">
      <c r="E410" s="482"/>
    </row>
    <row r="411" ht="12.75" customHeight="1">
      <c r="E411" s="482"/>
    </row>
    <row r="412" ht="12.75" customHeight="1">
      <c r="E412" s="482"/>
    </row>
    <row r="413" ht="12.75" customHeight="1">
      <c r="E413" s="482"/>
    </row>
    <row r="414" ht="12.75" customHeight="1">
      <c r="E414" s="482"/>
    </row>
    <row r="415" ht="12.75" customHeight="1">
      <c r="E415" s="482"/>
    </row>
    <row r="416" ht="12.75" customHeight="1">
      <c r="E416" s="482"/>
    </row>
    <row r="417" ht="12.75" customHeight="1">
      <c r="E417" s="482"/>
    </row>
    <row r="418" ht="12.75" customHeight="1">
      <c r="E418" s="482"/>
    </row>
    <row r="419" ht="12.75" customHeight="1">
      <c r="E419" s="482"/>
    </row>
    <row r="420" ht="12.75" customHeight="1">
      <c r="E420" s="482"/>
    </row>
    <row r="421" ht="12.75" customHeight="1">
      <c r="E421" s="482"/>
    </row>
    <row r="422" ht="12.75" customHeight="1">
      <c r="E422" s="482"/>
    </row>
    <row r="423" ht="12.75" customHeight="1">
      <c r="E423" s="482"/>
    </row>
    <row r="424" ht="12.75" customHeight="1">
      <c r="E424" s="482"/>
    </row>
    <row r="425" ht="12.75" customHeight="1">
      <c r="E425" s="482"/>
    </row>
    <row r="426" ht="12.75" customHeight="1">
      <c r="E426" s="482"/>
    </row>
    <row r="427" ht="12.75" customHeight="1">
      <c r="E427" s="482"/>
    </row>
    <row r="428" ht="12.75" customHeight="1">
      <c r="E428" s="482"/>
    </row>
    <row r="429" ht="12.75" customHeight="1">
      <c r="E429" s="482"/>
    </row>
    <row r="430" ht="12.75" customHeight="1">
      <c r="E430" s="482"/>
    </row>
    <row r="431" ht="12.75" customHeight="1">
      <c r="E431" s="482"/>
    </row>
    <row r="432" ht="12.75" customHeight="1">
      <c r="E432" s="482"/>
    </row>
    <row r="433" ht="12.75" customHeight="1">
      <c r="E433" s="482"/>
    </row>
    <row r="434" ht="12.75" customHeight="1">
      <c r="E434" s="482"/>
    </row>
    <row r="435" ht="12.75" customHeight="1">
      <c r="E435" s="482"/>
    </row>
    <row r="436" ht="12.75" customHeight="1">
      <c r="E436" s="482"/>
    </row>
    <row r="437" ht="12.75" customHeight="1">
      <c r="E437" s="482"/>
    </row>
    <row r="438" ht="12.75" customHeight="1">
      <c r="E438" s="482"/>
    </row>
    <row r="439" ht="12.75" customHeight="1">
      <c r="E439" s="482"/>
    </row>
    <row r="440" ht="12.75" customHeight="1">
      <c r="E440" s="482"/>
    </row>
    <row r="441" ht="12.75" customHeight="1">
      <c r="E441" s="482"/>
    </row>
    <row r="442" ht="12.75" customHeight="1">
      <c r="E442" s="482"/>
    </row>
    <row r="443" ht="12.75" customHeight="1">
      <c r="E443" s="482"/>
    </row>
    <row r="444" ht="12.75" customHeight="1">
      <c r="E444" s="482"/>
    </row>
    <row r="445" ht="12.75" customHeight="1">
      <c r="E445" s="482"/>
    </row>
    <row r="446" ht="12.75" customHeight="1">
      <c r="E446" s="482"/>
    </row>
    <row r="447" ht="12.75" customHeight="1">
      <c r="E447" s="482"/>
    </row>
    <row r="448" ht="12.75" customHeight="1">
      <c r="E448" s="482"/>
    </row>
    <row r="449" ht="12.75" customHeight="1">
      <c r="E449" s="482"/>
    </row>
    <row r="450" ht="12.75" customHeight="1">
      <c r="E450" s="482"/>
    </row>
    <row r="451" ht="12.75" customHeight="1">
      <c r="E451" s="482"/>
    </row>
    <row r="452" ht="12.75" customHeight="1">
      <c r="E452" s="482"/>
    </row>
    <row r="453" ht="12.75" customHeight="1">
      <c r="E453" s="482"/>
    </row>
    <row r="454" ht="12.75" customHeight="1">
      <c r="E454" s="482"/>
    </row>
    <row r="455" ht="12.75" customHeight="1">
      <c r="E455" s="482"/>
    </row>
    <row r="456" ht="12.75" customHeight="1">
      <c r="E456" s="482"/>
    </row>
    <row r="457" ht="12.75" customHeight="1">
      <c r="E457" s="482"/>
    </row>
    <row r="458" ht="12.75" customHeight="1">
      <c r="E458" s="482"/>
    </row>
    <row r="459" ht="12.75" customHeight="1">
      <c r="E459" s="482"/>
    </row>
    <row r="460" ht="12.75" customHeight="1">
      <c r="E460" s="482"/>
    </row>
    <row r="461" ht="12.75" customHeight="1">
      <c r="E461" s="482"/>
    </row>
    <row r="462" ht="12.75" customHeight="1">
      <c r="E462" s="482"/>
    </row>
    <row r="463" ht="12.75" customHeight="1">
      <c r="E463" s="482"/>
    </row>
    <row r="464" ht="12.75" customHeight="1">
      <c r="E464" s="482"/>
    </row>
    <row r="465" ht="12.75" customHeight="1">
      <c r="E465" s="482"/>
    </row>
    <row r="466" ht="12.75" customHeight="1">
      <c r="E466" s="482"/>
    </row>
    <row r="467" ht="12.75" customHeight="1">
      <c r="E467" s="482"/>
    </row>
    <row r="468" ht="12.75" customHeight="1">
      <c r="E468" s="482"/>
    </row>
    <row r="469" ht="12.75" customHeight="1">
      <c r="E469" s="482"/>
    </row>
    <row r="470" ht="12.75" customHeight="1">
      <c r="E470" s="482"/>
    </row>
    <row r="471" ht="12.75" customHeight="1">
      <c r="E471" s="482"/>
    </row>
    <row r="472" ht="12.75" customHeight="1">
      <c r="E472" s="482"/>
    </row>
    <row r="473" ht="12.75" customHeight="1">
      <c r="E473" s="482"/>
    </row>
    <row r="474" ht="12.75" customHeight="1">
      <c r="E474" s="482"/>
    </row>
    <row r="475" ht="12.75" customHeight="1">
      <c r="E475" s="482"/>
    </row>
    <row r="476" ht="12.75" customHeight="1">
      <c r="E476" s="482"/>
    </row>
    <row r="477" ht="12.75" customHeight="1">
      <c r="E477" s="482"/>
    </row>
    <row r="478" ht="12.75" customHeight="1">
      <c r="E478" s="482"/>
    </row>
    <row r="479" ht="12.75" customHeight="1">
      <c r="E479" s="482"/>
    </row>
    <row r="480" ht="12.75" customHeight="1">
      <c r="E480" s="482"/>
    </row>
    <row r="481" ht="12.75" customHeight="1">
      <c r="E481" s="482"/>
    </row>
    <row r="482" ht="12.75" customHeight="1">
      <c r="E482" s="482"/>
    </row>
    <row r="483" ht="12.75" customHeight="1">
      <c r="E483" s="482"/>
    </row>
    <row r="484" ht="12.75" customHeight="1">
      <c r="E484" s="482"/>
    </row>
    <row r="485" ht="12.75" customHeight="1">
      <c r="E485" s="482"/>
    </row>
    <row r="486" ht="12.75" customHeight="1">
      <c r="E486" s="482"/>
    </row>
    <row r="487" ht="12.75" customHeight="1">
      <c r="E487" s="482"/>
    </row>
    <row r="488" ht="12.75" customHeight="1">
      <c r="E488" s="482"/>
    </row>
    <row r="489" ht="12.75" customHeight="1">
      <c r="E489" s="482"/>
    </row>
    <row r="490" ht="12.75" customHeight="1">
      <c r="E490" s="482"/>
    </row>
    <row r="491" ht="12.75" customHeight="1">
      <c r="E491" s="482"/>
    </row>
    <row r="492" ht="12.75" customHeight="1">
      <c r="E492" s="482"/>
    </row>
    <row r="493" ht="12.75" customHeight="1">
      <c r="E493" s="482"/>
    </row>
    <row r="494" ht="12.75" customHeight="1">
      <c r="E494" s="482"/>
    </row>
    <row r="495" ht="12.75" customHeight="1">
      <c r="E495" s="482"/>
    </row>
    <row r="496" ht="12.75" customHeight="1">
      <c r="E496" s="482"/>
    </row>
    <row r="497" ht="12.75" customHeight="1">
      <c r="E497" s="482"/>
    </row>
    <row r="498" ht="12.75" customHeight="1">
      <c r="E498" s="482"/>
    </row>
    <row r="499" ht="12.75" customHeight="1">
      <c r="E499" s="482"/>
    </row>
    <row r="500" ht="12.75" customHeight="1">
      <c r="E500" s="482"/>
    </row>
    <row r="501" ht="12.75" customHeight="1">
      <c r="E501" s="482"/>
    </row>
    <row r="502" ht="12.75" customHeight="1">
      <c r="E502" s="482"/>
    </row>
    <row r="503" ht="12.75" customHeight="1">
      <c r="E503" s="482"/>
    </row>
    <row r="504" ht="12.75" customHeight="1">
      <c r="E504" s="482"/>
    </row>
    <row r="505" ht="12.75" customHeight="1">
      <c r="E505" s="482"/>
    </row>
    <row r="506" ht="12.75" customHeight="1">
      <c r="E506" s="482"/>
    </row>
    <row r="507" ht="12.75" customHeight="1">
      <c r="E507" s="482"/>
    </row>
    <row r="508" ht="12.75" customHeight="1">
      <c r="E508" s="482"/>
    </row>
    <row r="509" ht="12.75" customHeight="1">
      <c r="E509" s="482"/>
    </row>
    <row r="510" ht="12.75" customHeight="1">
      <c r="E510" s="482"/>
    </row>
    <row r="511" ht="12.75" customHeight="1">
      <c r="E511" s="482"/>
    </row>
    <row r="512" ht="12.75" customHeight="1">
      <c r="E512" s="482"/>
    </row>
    <row r="513" ht="12.75" customHeight="1">
      <c r="E513" s="482"/>
    </row>
    <row r="514" ht="12.75" customHeight="1">
      <c r="E514" s="482"/>
    </row>
    <row r="515" ht="12.75" customHeight="1">
      <c r="E515" s="482"/>
    </row>
    <row r="516" ht="12.75" customHeight="1">
      <c r="E516" s="482"/>
    </row>
    <row r="517" ht="12.75" customHeight="1">
      <c r="E517" s="482"/>
    </row>
    <row r="518" ht="12.75" customHeight="1">
      <c r="E518" s="482"/>
    </row>
    <row r="519" ht="12.75" customHeight="1">
      <c r="E519" s="482"/>
    </row>
    <row r="520" ht="12.75" customHeight="1">
      <c r="E520" s="482"/>
    </row>
    <row r="521" ht="12.75" customHeight="1">
      <c r="E521" s="482"/>
    </row>
    <row r="522" ht="12.75" customHeight="1">
      <c r="E522" s="482"/>
    </row>
    <row r="523" ht="12.75" customHeight="1">
      <c r="E523" s="482"/>
    </row>
    <row r="524" ht="12.75" customHeight="1">
      <c r="E524" s="482"/>
    </row>
    <row r="525" ht="12.75" customHeight="1">
      <c r="E525" s="482"/>
    </row>
    <row r="526" ht="12.75" customHeight="1">
      <c r="E526" s="482"/>
    </row>
    <row r="527" ht="12.75" customHeight="1">
      <c r="E527" s="482"/>
    </row>
    <row r="528" ht="12.75" customHeight="1">
      <c r="E528" s="482"/>
    </row>
    <row r="529" ht="12.75" customHeight="1">
      <c r="E529" s="482"/>
    </row>
    <row r="530" ht="12.75" customHeight="1">
      <c r="E530" s="482"/>
    </row>
    <row r="531" ht="12.75" customHeight="1">
      <c r="E531" s="482"/>
    </row>
    <row r="532" ht="12.75" customHeight="1">
      <c r="E532" s="482"/>
    </row>
    <row r="533" ht="12.75" customHeight="1">
      <c r="E533" s="482"/>
    </row>
    <row r="534" ht="12.75" customHeight="1">
      <c r="E534" s="482"/>
    </row>
    <row r="535" ht="12.75" customHeight="1">
      <c r="E535" s="482"/>
    </row>
    <row r="536" ht="12.75" customHeight="1">
      <c r="E536" s="482"/>
    </row>
    <row r="537" ht="12.75" customHeight="1">
      <c r="E537" s="482"/>
    </row>
    <row r="538" ht="12.75" customHeight="1">
      <c r="E538" s="482"/>
    </row>
    <row r="539" ht="12.75" customHeight="1">
      <c r="E539" s="482"/>
    </row>
    <row r="540" ht="12.75" customHeight="1">
      <c r="E540" s="482"/>
    </row>
    <row r="541" ht="12.75" customHeight="1">
      <c r="E541" s="482"/>
    </row>
    <row r="542" ht="12.75" customHeight="1">
      <c r="E542" s="482"/>
    </row>
    <row r="543" ht="12.75" customHeight="1">
      <c r="E543" s="482"/>
    </row>
    <row r="544" ht="12.75" customHeight="1">
      <c r="E544" s="482"/>
    </row>
    <row r="545" ht="12.75" customHeight="1">
      <c r="E545" s="482"/>
    </row>
    <row r="546" ht="12.75" customHeight="1">
      <c r="E546" s="482"/>
    </row>
    <row r="547" ht="12.75" customHeight="1">
      <c r="E547" s="482"/>
    </row>
    <row r="548" ht="12.75" customHeight="1">
      <c r="E548" s="482"/>
    </row>
    <row r="549" ht="12.75" customHeight="1">
      <c r="E549" s="482"/>
    </row>
    <row r="550" ht="12.75" customHeight="1">
      <c r="E550" s="482"/>
    </row>
    <row r="551" ht="12.75" customHeight="1">
      <c r="E551" s="482"/>
    </row>
    <row r="552" ht="12.75" customHeight="1">
      <c r="E552" s="482"/>
    </row>
    <row r="553" ht="12.75" customHeight="1">
      <c r="E553" s="482"/>
    </row>
    <row r="554" ht="12.75" customHeight="1">
      <c r="E554" s="482"/>
    </row>
    <row r="555" ht="12.75" customHeight="1">
      <c r="E555" s="482"/>
    </row>
    <row r="556" ht="12.75" customHeight="1">
      <c r="E556" s="482"/>
    </row>
    <row r="557" ht="12.75" customHeight="1">
      <c r="E557" s="482"/>
    </row>
    <row r="558" ht="12.75" customHeight="1">
      <c r="E558" s="482"/>
    </row>
    <row r="559" ht="12.75" customHeight="1">
      <c r="E559" s="482"/>
    </row>
    <row r="560" ht="12.75" customHeight="1">
      <c r="E560" s="482"/>
    </row>
    <row r="561" ht="12.75" customHeight="1">
      <c r="E561" s="482"/>
    </row>
    <row r="562" ht="12.75" customHeight="1">
      <c r="E562" s="482"/>
    </row>
    <row r="563" ht="12.75" customHeight="1">
      <c r="E563" s="482"/>
    </row>
    <row r="564" ht="12.75" customHeight="1">
      <c r="E564" s="482"/>
    </row>
    <row r="565" ht="12.75" customHeight="1">
      <c r="E565" s="482"/>
    </row>
    <row r="566" ht="12.75" customHeight="1">
      <c r="E566" s="482"/>
    </row>
    <row r="567" ht="12.75" customHeight="1">
      <c r="E567" s="482"/>
    </row>
    <row r="568" ht="12.75" customHeight="1">
      <c r="E568" s="482"/>
    </row>
    <row r="569" ht="12.75" customHeight="1">
      <c r="E569" s="482"/>
    </row>
    <row r="570" ht="12.75" customHeight="1">
      <c r="E570" s="482"/>
    </row>
    <row r="571" ht="12.75" customHeight="1">
      <c r="E571" s="482"/>
    </row>
    <row r="572" ht="12.75" customHeight="1">
      <c r="E572" s="482"/>
    </row>
    <row r="573" ht="12.75" customHeight="1">
      <c r="E573" s="482"/>
    </row>
    <row r="574" ht="12.75" customHeight="1">
      <c r="E574" s="482"/>
    </row>
    <row r="575" ht="12.75" customHeight="1">
      <c r="E575" s="482"/>
    </row>
    <row r="576" ht="12.75" customHeight="1">
      <c r="E576" s="482"/>
    </row>
    <row r="577" ht="12.75" customHeight="1">
      <c r="E577" s="482"/>
    </row>
    <row r="578" ht="12.75" customHeight="1">
      <c r="E578" s="482"/>
    </row>
    <row r="579" ht="12.75" customHeight="1">
      <c r="E579" s="482"/>
    </row>
    <row r="580" ht="12.75" customHeight="1">
      <c r="E580" s="482"/>
    </row>
    <row r="581" ht="12.75" customHeight="1">
      <c r="E581" s="482"/>
    </row>
    <row r="582" ht="12.75" customHeight="1">
      <c r="E582" s="482"/>
    </row>
    <row r="583" ht="12.75" customHeight="1">
      <c r="E583" s="482"/>
    </row>
    <row r="584" ht="12.75" customHeight="1">
      <c r="E584" s="482"/>
    </row>
    <row r="585" ht="12.75" customHeight="1">
      <c r="E585" s="482"/>
    </row>
    <row r="586" ht="12.75" customHeight="1">
      <c r="E586" s="482"/>
    </row>
    <row r="587" ht="12.75" customHeight="1">
      <c r="E587" s="482"/>
    </row>
    <row r="588" ht="12.75" customHeight="1">
      <c r="E588" s="482"/>
    </row>
    <row r="589" ht="12.75" customHeight="1">
      <c r="E589" s="482"/>
    </row>
    <row r="590" ht="12.75" customHeight="1">
      <c r="E590" s="482"/>
    </row>
    <row r="591" ht="12.75" customHeight="1">
      <c r="E591" s="482"/>
    </row>
    <row r="592" ht="12.75" customHeight="1">
      <c r="E592" s="482"/>
    </row>
    <row r="593" ht="12.75" customHeight="1">
      <c r="E593" s="482"/>
    </row>
    <row r="594" ht="12.75" customHeight="1">
      <c r="E594" s="482"/>
    </row>
    <row r="595" ht="12.75" customHeight="1">
      <c r="E595" s="482"/>
    </row>
    <row r="596" ht="12.75" customHeight="1">
      <c r="E596" s="482"/>
    </row>
    <row r="597" ht="12.75" customHeight="1">
      <c r="E597" s="482"/>
    </row>
    <row r="598" ht="12.75" customHeight="1">
      <c r="E598" s="482"/>
    </row>
    <row r="599" ht="12.75" customHeight="1">
      <c r="E599" s="482"/>
    </row>
    <row r="600" ht="12.75" customHeight="1">
      <c r="E600" s="482"/>
    </row>
    <row r="601" ht="12.75" customHeight="1">
      <c r="E601" s="482"/>
    </row>
    <row r="602" ht="12.75" customHeight="1">
      <c r="E602" s="482"/>
    </row>
    <row r="603" ht="12.75" customHeight="1">
      <c r="E603" s="482"/>
    </row>
    <row r="604" ht="12.75" customHeight="1">
      <c r="E604" s="482"/>
    </row>
    <row r="605" ht="12.75" customHeight="1">
      <c r="E605" s="482"/>
    </row>
    <row r="606" ht="12.75" customHeight="1">
      <c r="E606" s="482"/>
    </row>
    <row r="607" ht="12.75" customHeight="1">
      <c r="E607" s="482"/>
    </row>
    <row r="608" ht="12.75" customHeight="1">
      <c r="E608" s="482"/>
    </row>
    <row r="609" ht="12.75" customHeight="1">
      <c r="E609" s="482"/>
    </row>
    <row r="610" ht="12.75" customHeight="1">
      <c r="E610" s="482"/>
    </row>
    <row r="611" ht="12.75" customHeight="1">
      <c r="E611" s="482"/>
    </row>
    <row r="612" ht="12.75" customHeight="1">
      <c r="E612" s="482"/>
    </row>
    <row r="613" ht="12.75" customHeight="1">
      <c r="E613" s="482"/>
    </row>
    <row r="614" ht="12.75" customHeight="1">
      <c r="E614" s="482"/>
    </row>
    <row r="615" ht="12.75" customHeight="1">
      <c r="E615" s="482"/>
    </row>
    <row r="616" ht="12.75" customHeight="1">
      <c r="E616" s="482"/>
    </row>
    <row r="617" ht="12.75" customHeight="1">
      <c r="E617" s="482"/>
    </row>
    <row r="618" ht="12.75" customHeight="1">
      <c r="E618" s="482"/>
    </row>
    <row r="619" ht="12.75" customHeight="1">
      <c r="E619" s="482"/>
    </row>
    <row r="620" ht="12.75" customHeight="1">
      <c r="E620" s="482"/>
    </row>
    <row r="621" ht="12.75" customHeight="1">
      <c r="E621" s="482"/>
    </row>
    <row r="622" ht="12.75" customHeight="1">
      <c r="E622" s="482"/>
    </row>
    <row r="623" ht="12.75" customHeight="1">
      <c r="E623" s="482"/>
    </row>
    <row r="624" ht="12.75" customHeight="1">
      <c r="E624" s="482"/>
    </row>
    <row r="625" ht="12.75" customHeight="1">
      <c r="E625" s="482"/>
    </row>
    <row r="626" ht="12.75" customHeight="1">
      <c r="E626" s="482"/>
    </row>
    <row r="627" ht="12.75" customHeight="1">
      <c r="E627" s="482"/>
    </row>
    <row r="628" ht="12.75" customHeight="1">
      <c r="E628" s="482"/>
    </row>
    <row r="629" ht="12.75" customHeight="1">
      <c r="E629" s="482"/>
    </row>
    <row r="630" ht="12.75" customHeight="1">
      <c r="E630" s="482"/>
    </row>
    <row r="631" ht="12.75" customHeight="1">
      <c r="E631" s="482"/>
    </row>
    <row r="632" ht="12.75" customHeight="1">
      <c r="E632" s="482"/>
    </row>
    <row r="633" ht="12.75" customHeight="1">
      <c r="E633" s="482"/>
    </row>
    <row r="634" ht="12.75" customHeight="1">
      <c r="E634" s="482"/>
    </row>
    <row r="635" ht="12.75" customHeight="1">
      <c r="E635" s="482"/>
    </row>
    <row r="636" ht="12.75" customHeight="1">
      <c r="E636" s="482"/>
    </row>
    <row r="637" ht="12.75" customHeight="1">
      <c r="E637" s="482"/>
    </row>
    <row r="638" ht="12.75" customHeight="1">
      <c r="E638" s="482"/>
    </row>
    <row r="639" ht="12.75" customHeight="1">
      <c r="E639" s="482"/>
    </row>
    <row r="640" ht="12.75" customHeight="1">
      <c r="E640" s="482"/>
    </row>
    <row r="641" ht="12.75" customHeight="1">
      <c r="E641" s="482"/>
    </row>
    <row r="642" ht="12.75" customHeight="1">
      <c r="E642" s="482"/>
    </row>
    <row r="643" ht="12.75" customHeight="1">
      <c r="E643" s="482"/>
    </row>
    <row r="644" ht="12.75" customHeight="1">
      <c r="E644" s="482"/>
    </row>
    <row r="645" ht="12.75" customHeight="1">
      <c r="E645" s="482"/>
    </row>
    <row r="646" ht="12.75" customHeight="1">
      <c r="E646" s="482"/>
    </row>
    <row r="647" ht="12.75" customHeight="1">
      <c r="E647" s="482"/>
    </row>
    <row r="648" ht="12.75" customHeight="1">
      <c r="E648" s="482"/>
    </row>
    <row r="649" ht="12.75" customHeight="1">
      <c r="E649" s="482"/>
    </row>
    <row r="650" ht="12.75" customHeight="1">
      <c r="E650" s="482"/>
    </row>
    <row r="651" ht="12.75" customHeight="1">
      <c r="E651" s="482"/>
    </row>
    <row r="652" ht="12.75" customHeight="1">
      <c r="E652" s="482"/>
    </row>
    <row r="653" ht="12.75" customHeight="1">
      <c r="E653" s="482"/>
    </row>
    <row r="654" ht="12.75" customHeight="1">
      <c r="E654" s="482"/>
    </row>
    <row r="655" ht="12.75" customHeight="1">
      <c r="E655" s="482"/>
    </row>
    <row r="656" ht="12.75" customHeight="1">
      <c r="E656" s="482"/>
    </row>
    <row r="657" ht="12.75" customHeight="1">
      <c r="E657" s="482"/>
    </row>
    <row r="658" ht="12.75" customHeight="1">
      <c r="E658" s="482"/>
    </row>
    <row r="659" ht="12.75" customHeight="1">
      <c r="E659" s="482"/>
    </row>
    <row r="660" ht="12.75" customHeight="1">
      <c r="E660" s="482"/>
    </row>
    <row r="661" ht="12.75" customHeight="1">
      <c r="E661" s="482"/>
    </row>
    <row r="662" ht="12.75" customHeight="1">
      <c r="E662" s="482"/>
    </row>
    <row r="663" ht="12.75" customHeight="1">
      <c r="E663" s="482"/>
    </row>
    <row r="664" ht="12.75" customHeight="1">
      <c r="E664" s="482"/>
    </row>
    <row r="665" ht="12.75" customHeight="1">
      <c r="E665" s="482"/>
    </row>
    <row r="666" ht="12.75" customHeight="1">
      <c r="E666" s="482"/>
    </row>
    <row r="667" ht="12.75" customHeight="1">
      <c r="E667" s="482"/>
    </row>
    <row r="668" ht="12.75" customHeight="1">
      <c r="E668" s="482"/>
    </row>
    <row r="669" ht="12.75" customHeight="1">
      <c r="E669" s="482"/>
    </row>
    <row r="670" ht="12.75" customHeight="1">
      <c r="E670" s="482"/>
    </row>
    <row r="671" ht="12.75" customHeight="1">
      <c r="E671" s="482"/>
    </row>
    <row r="672" ht="12.75" customHeight="1">
      <c r="E672" s="482"/>
    </row>
    <row r="673" ht="12.75" customHeight="1">
      <c r="E673" s="482"/>
    </row>
    <row r="674" ht="12.75" customHeight="1">
      <c r="E674" s="482"/>
    </row>
    <row r="675" ht="12.75" customHeight="1">
      <c r="E675" s="482"/>
    </row>
    <row r="676" ht="12.75" customHeight="1">
      <c r="E676" s="482"/>
    </row>
    <row r="677" ht="12.75" customHeight="1">
      <c r="E677" s="482"/>
    </row>
    <row r="678" ht="12.75" customHeight="1">
      <c r="E678" s="482"/>
    </row>
    <row r="679" ht="12.75" customHeight="1">
      <c r="E679" s="482"/>
    </row>
    <row r="680" ht="12.75" customHeight="1">
      <c r="E680" s="482"/>
    </row>
    <row r="681" ht="12.75" customHeight="1">
      <c r="E681" s="482"/>
    </row>
    <row r="682" ht="12.75" customHeight="1">
      <c r="E682" s="482"/>
    </row>
    <row r="683" ht="12.75" customHeight="1">
      <c r="E683" s="482"/>
    </row>
    <row r="684" ht="12.75" customHeight="1">
      <c r="E684" s="482"/>
    </row>
    <row r="685" ht="12.75" customHeight="1">
      <c r="E685" s="482"/>
    </row>
    <row r="686" ht="12.75" customHeight="1">
      <c r="E686" s="482"/>
    </row>
    <row r="687" ht="12.75" customHeight="1">
      <c r="E687" s="482"/>
    </row>
    <row r="688" ht="12.75" customHeight="1">
      <c r="E688" s="482"/>
    </row>
    <row r="689" ht="12.75" customHeight="1">
      <c r="E689" s="482"/>
    </row>
    <row r="690" ht="12.75" customHeight="1">
      <c r="E690" s="482"/>
    </row>
    <row r="691" ht="12.75" customHeight="1">
      <c r="E691" s="482"/>
    </row>
    <row r="692" ht="12.75" customHeight="1">
      <c r="E692" s="482"/>
    </row>
    <row r="693" ht="12.75" customHeight="1">
      <c r="E693" s="482"/>
    </row>
    <row r="694" ht="12.75" customHeight="1">
      <c r="E694" s="482"/>
    </row>
    <row r="695" ht="12.75" customHeight="1">
      <c r="E695" s="482"/>
    </row>
    <row r="696" ht="12.75" customHeight="1">
      <c r="E696" s="482"/>
    </row>
    <row r="697" ht="12.75" customHeight="1">
      <c r="E697" s="482"/>
    </row>
    <row r="698" ht="12.75" customHeight="1">
      <c r="E698" s="482"/>
    </row>
    <row r="699" ht="12.75" customHeight="1">
      <c r="E699" s="482"/>
    </row>
    <row r="700" ht="12.75" customHeight="1">
      <c r="E700" s="482"/>
    </row>
    <row r="701" ht="12.75" customHeight="1">
      <c r="E701" s="482"/>
    </row>
    <row r="702" ht="12.75" customHeight="1">
      <c r="E702" s="482"/>
    </row>
    <row r="703" ht="12.75" customHeight="1">
      <c r="E703" s="482"/>
    </row>
    <row r="704" ht="12.75" customHeight="1">
      <c r="E704" s="482"/>
    </row>
    <row r="705" ht="12.75" customHeight="1">
      <c r="E705" s="482"/>
    </row>
    <row r="706" ht="12.75" customHeight="1">
      <c r="E706" s="482"/>
    </row>
    <row r="707" ht="12.75" customHeight="1">
      <c r="E707" s="482"/>
    </row>
    <row r="708" ht="12.75" customHeight="1">
      <c r="E708" s="482"/>
    </row>
    <row r="709" ht="12.75" customHeight="1">
      <c r="E709" s="482"/>
    </row>
    <row r="710" ht="12.75" customHeight="1">
      <c r="E710" s="482"/>
    </row>
    <row r="711" ht="12.75" customHeight="1">
      <c r="E711" s="482"/>
    </row>
    <row r="712" ht="12.75" customHeight="1">
      <c r="E712" s="482"/>
    </row>
    <row r="713" ht="12.75" customHeight="1">
      <c r="E713" s="482"/>
    </row>
    <row r="714" ht="12.75" customHeight="1">
      <c r="E714" s="482"/>
    </row>
    <row r="715" ht="12.75" customHeight="1">
      <c r="E715" s="482"/>
    </row>
    <row r="716" ht="12.75" customHeight="1">
      <c r="E716" s="482"/>
    </row>
    <row r="717" ht="12.75" customHeight="1">
      <c r="E717" s="482"/>
    </row>
    <row r="718" ht="12.75" customHeight="1">
      <c r="E718" s="482"/>
    </row>
    <row r="719" ht="12.75" customHeight="1">
      <c r="E719" s="482"/>
    </row>
    <row r="720" ht="12.75" customHeight="1">
      <c r="E720" s="482"/>
    </row>
    <row r="721" ht="12.75" customHeight="1">
      <c r="E721" s="482"/>
    </row>
    <row r="722" ht="12.75" customHeight="1">
      <c r="E722" s="482"/>
    </row>
    <row r="723" ht="12.75" customHeight="1">
      <c r="E723" s="482"/>
    </row>
    <row r="724" ht="12.75" customHeight="1">
      <c r="E724" s="482"/>
    </row>
    <row r="725" ht="12.75" customHeight="1">
      <c r="E725" s="482"/>
    </row>
    <row r="726" ht="12.75" customHeight="1">
      <c r="E726" s="482"/>
    </row>
    <row r="727" ht="12.75" customHeight="1">
      <c r="E727" s="482"/>
    </row>
    <row r="728" ht="12.75" customHeight="1">
      <c r="E728" s="482"/>
    </row>
    <row r="729" ht="12.75" customHeight="1">
      <c r="E729" s="482"/>
    </row>
    <row r="730" ht="12.75" customHeight="1">
      <c r="E730" s="482"/>
    </row>
    <row r="731" ht="12.75" customHeight="1">
      <c r="E731" s="482"/>
    </row>
    <row r="732" ht="12.75" customHeight="1">
      <c r="E732" s="482"/>
    </row>
    <row r="733" ht="12.75" customHeight="1">
      <c r="E733" s="482"/>
    </row>
    <row r="734" ht="12.75" customHeight="1">
      <c r="E734" s="482"/>
    </row>
    <row r="735" ht="12.75" customHeight="1">
      <c r="E735" s="482"/>
    </row>
    <row r="736" ht="12.75" customHeight="1">
      <c r="E736" s="482"/>
    </row>
    <row r="737" ht="12.75" customHeight="1">
      <c r="E737" s="482"/>
    </row>
    <row r="738" ht="12.75" customHeight="1">
      <c r="E738" s="482"/>
    </row>
    <row r="739" ht="12.75" customHeight="1">
      <c r="E739" s="482"/>
    </row>
    <row r="740" ht="12.75" customHeight="1">
      <c r="E740" s="482"/>
    </row>
    <row r="741" ht="12.75" customHeight="1">
      <c r="E741" s="482"/>
    </row>
    <row r="742" ht="12.75" customHeight="1">
      <c r="E742" s="482"/>
    </row>
    <row r="743" ht="12.75" customHeight="1">
      <c r="E743" s="482"/>
    </row>
    <row r="744" ht="12.75" customHeight="1">
      <c r="E744" s="482"/>
    </row>
    <row r="745" ht="12.75" customHeight="1">
      <c r="E745" s="482"/>
    </row>
    <row r="746" ht="12.75" customHeight="1">
      <c r="E746" s="482"/>
    </row>
    <row r="747" ht="12.75" customHeight="1">
      <c r="E747" s="482"/>
    </row>
    <row r="748" ht="12.75" customHeight="1">
      <c r="E748" s="482"/>
    </row>
    <row r="749" ht="12.75" customHeight="1">
      <c r="E749" s="482"/>
    </row>
    <row r="750" ht="12.75" customHeight="1">
      <c r="E750" s="482"/>
    </row>
    <row r="751" ht="12.75" customHeight="1">
      <c r="E751" s="482"/>
    </row>
    <row r="752" ht="12.75" customHeight="1">
      <c r="E752" s="482"/>
    </row>
    <row r="753" ht="12.75" customHeight="1">
      <c r="E753" s="482"/>
    </row>
    <row r="754" ht="12.75" customHeight="1">
      <c r="E754" s="482"/>
    </row>
    <row r="755" ht="12.75" customHeight="1">
      <c r="E755" s="482"/>
    </row>
    <row r="756" ht="12.75" customHeight="1">
      <c r="E756" s="482"/>
    </row>
    <row r="757" ht="12.75" customHeight="1">
      <c r="E757" s="482"/>
    </row>
    <row r="758" ht="12.75" customHeight="1">
      <c r="E758" s="482"/>
    </row>
    <row r="759" ht="12.75" customHeight="1">
      <c r="E759" s="482"/>
    </row>
    <row r="760" ht="12.75" customHeight="1">
      <c r="E760" s="482"/>
    </row>
    <row r="761" ht="12.75" customHeight="1">
      <c r="E761" s="482"/>
    </row>
    <row r="762" ht="12.75" customHeight="1">
      <c r="E762" s="482"/>
    </row>
    <row r="763" ht="12.75" customHeight="1">
      <c r="E763" s="482"/>
    </row>
    <row r="764" ht="12.75" customHeight="1">
      <c r="E764" s="482"/>
    </row>
    <row r="765" ht="12.75" customHeight="1">
      <c r="E765" s="482"/>
    </row>
    <row r="766" ht="12.75" customHeight="1">
      <c r="E766" s="482"/>
    </row>
    <row r="767" ht="12.75" customHeight="1">
      <c r="E767" s="482"/>
    </row>
    <row r="768" ht="12.75" customHeight="1">
      <c r="E768" s="482"/>
    </row>
    <row r="769" ht="12.75" customHeight="1">
      <c r="E769" s="482"/>
    </row>
    <row r="770" ht="12.75" customHeight="1">
      <c r="E770" s="482"/>
    </row>
    <row r="771" ht="12.75" customHeight="1">
      <c r="E771" s="482"/>
    </row>
    <row r="772" ht="12.75" customHeight="1">
      <c r="E772" s="482"/>
    </row>
    <row r="773" ht="12.75" customHeight="1">
      <c r="E773" s="482"/>
    </row>
    <row r="774" ht="12.75" customHeight="1">
      <c r="E774" s="482"/>
    </row>
    <row r="775" ht="12.75" customHeight="1">
      <c r="E775" s="482"/>
    </row>
    <row r="776" ht="12.75" customHeight="1">
      <c r="E776" s="482"/>
    </row>
    <row r="777" ht="12.75" customHeight="1">
      <c r="E777" s="482"/>
    </row>
    <row r="778" ht="12.75" customHeight="1">
      <c r="E778" s="482"/>
    </row>
    <row r="779" ht="12.75" customHeight="1">
      <c r="E779" s="482"/>
    </row>
    <row r="780" ht="12.75" customHeight="1">
      <c r="E780" s="482"/>
    </row>
    <row r="781" ht="12.75" customHeight="1">
      <c r="E781" s="482"/>
    </row>
    <row r="782" ht="12.75" customHeight="1">
      <c r="E782" s="482"/>
    </row>
    <row r="783" ht="12.75" customHeight="1">
      <c r="E783" s="482"/>
    </row>
    <row r="784" ht="12.75" customHeight="1">
      <c r="E784" s="482"/>
    </row>
    <row r="785" ht="12.75" customHeight="1">
      <c r="E785" s="482"/>
    </row>
    <row r="786" ht="12.75" customHeight="1">
      <c r="E786" s="482"/>
    </row>
    <row r="787" ht="12.75" customHeight="1">
      <c r="E787" s="482"/>
    </row>
    <row r="788" ht="12.75" customHeight="1">
      <c r="E788" s="482"/>
    </row>
    <row r="789" ht="12.75" customHeight="1">
      <c r="E789" s="482"/>
    </row>
    <row r="790" ht="12.75" customHeight="1">
      <c r="E790" s="482"/>
    </row>
    <row r="791" ht="12.75" customHeight="1">
      <c r="E791" s="482"/>
    </row>
    <row r="792" ht="12.75" customHeight="1">
      <c r="E792" s="482"/>
    </row>
    <row r="793" ht="12.75" customHeight="1">
      <c r="E793" s="482"/>
    </row>
    <row r="794" ht="12.75" customHeight="1">
      <c r="E794" s="482"/>
    </row>
    <row r="795" ht="12.75" customHeight="1">
      <c r="E795" s="482"/>
    </row>
    <row r="796" ht="12.75" customHeight="1">
      <c r="E796" s="482"/>
    </row>
    <row r="797" ht="12.75" customHeight="1">
      <c r="E797" s="482"/>
    </row>
    <row r="798" ht="12.75" customHeight="1">
      <c r="E798" s="482"/>
    </row>
    <row r="799" ht="12.75" customHeight="1">
      <c r="E799" s="482"/>
    </row>
    <row r="800" ht="12.75" customHeight="1">
      <c r="E800" s="482"/>
    </row>
    <row r="801" ht="12.75" customHeight="1">
      <c r="E801" s="482"/>
    </row>
    <row r="802" ht="12.75" customHeight="1">
      <c r="E802" s="482"/>
    </row>
    <row r="803" ht="12.75" customHeight="1">
      <c r="E803" s="482"/>
    </row>
    <row r="804" ht="12.75" customHeight="1">
      <c r="E804" s="482"/>
    </row>
    <row r="805" ht="12.75" customHeight="1">
      <c r="E805" s="482"/>
    </row>
    <row r="806" ht="12.75" customHeight="1">
      <c r="E806" s="482"/>
    </row>
    <row r="807" ht="12.75" customHeight="1">
      <c r="E807" s="482"/>
    </row>
    <row r="808" ht="12.75" customHeight="1">
      <c r="E808" s="482"/>
    </row>
    <row r="809" ht="12.75" customHeight="1">
      <c r="E809" s="482"/>
    </row>
    <row r="810" ht="12.75" customHeight="1">
      <c r="E810" s="482"/>
    </row>
    <row r="811" ht="12.75" customHeight="1">
      <c r="E811" s="482"/>
    </row>
    <row r="812" ht="12.75" customHeight="1">
      <c r="E812" s="482"/>
    </row>
    <row r="813" ht="12.75" customHeight="1">
      <c r="E813" s="482"/>
    </row>
    <row r="814" ht="12.75" customHeight="1">
      <c r="E814" s="482"/>
    </row>
    <row r="815" ht="12.75" customHeight="1">
      <c r="E815" s="482"/>
    </row>
    <row r="816" ht="12.75" customHeight="1">
      <c r="E816" s="482"/>
    </row>
    <row r="817" ht="12.75" customHeight="1">
      <c r="E817" s="482"/>
    </row>
    <row r="818" ht="12.75" customHeight="1">
      <c r="E818" s="482"/>
    </row>
    <row r="819" ht="12.75" customHeight="1">
      <c r="E819" s="482"/>
    </row>
    <row r="820" ht="12.75" customHeight="1">
      <c r="E820" s="482"/>
    </row>
    <row r="821" ht="12.75" customHeight="1">
      <c r="E821" s="482"/>
    </row>
    <row r="822" ht="12.75" customHeight="1">
      <c r="E822" s="482"/>
    </row>
    <row r="823" ht="12.75" customHeight="1">
      <c r="E823" s="482"/>
    </row>
    <row r="824" ht="12.75" customHeight="1">
      <c r="E824" s="482"/>
    </row>
    <row r="825" ht="12.75" customHeight="1">
      <c r="E825" s="482"/>
    </row>
    <row r="826" ht="12.75" customHeight="1">
      <c r="E826" s="482"/>
    </row>
    <row r="827" ht="12.75" customHeight="1">
      <c r="E827" s="482"/>
    </row>
    <row r="828" ht="12.75" customHeight="1">
      <c r="E828" s="482"/>
    </row>
    <row r="829" ht="12.75" customHeight="1">
      <c r="E829" s="482"/>
    </row>
    <row r="830" ht="12.75" customHeight="1">
      <c r="E830" s="482"/>
    </row>
    <row r="831" ht="12.75" customHeight="1">
      <c r="E831" s="482"/>
    </row>
    <row r="832" ht="12.75" customHeight="1">
      <c r="E832" s="482"/>
    </row>
    <row r="833" ht="12.75" customHeight="1">
      <c r="E833" s="482"/>
    </row>
    <row r="834" ht="12.75" customHeight="1">
      <c r="E834" s="482"/>
    </row>
    <row r="835" ht="12.75" customHeight="1">
      <c r="E835" s="482"/>
    </row>
    <row r="836" ht="12.75" customHeight="1">
      <c r="E836" s="482"/>
    </row>
    <row r="837" ht="12.75" customHeight="1">
      <c r="E837" s="482"/>
    </row>
    <row r="838" ht="12.75" customHeight="1">
      <c r="E838" s="482"/>
    </row>
    <row r="839" ht="12.75" customHeight="1">
      <c r="E839" s="482"/>
    </row>
    <row r="840" ht="12.75" customHeight="1">
      <c r="E840" s="482"/>
    </row>
    <row r="841" ht="12.75" customHeight="1">
      <c r="E841" s="482"/>
    </row>
    <row r="842" ht="12.75" customHeight="1">
      <c r="E842" s="482"/>
    </row>
    <row r="843" ht="12.75" customHeight="1">
      <c r="E843" s="482"/>
    </row>
    <row r="844" ht="12.75" customHeight="1">
      <c r="E844" s="482"/>
    </row>
    <row r="845" ht="12.75" customHeight="1">
      <c r="E845" s="482"/>
    </row>
    <row r="846" ht="12.75" customHeight="1">
      <c r="E846" s="482"/>
    </row>
    <row r="847" ht="12.75" customHeight="1">
      <c r="E847" s="482"/>
    </row>
    <row r="848" ht="12.75" customHeight="1">
      <c r="E848" s="482"/>
    </row>
    <row r="849" ht="12.75" customHeight="1">
      <c r="E849" s="482"/>
    </row>
    <row r="850" ht="12.75" customHeight="1">
      <c r="E850" s="482"/>
    </row>
    <row r="851" ht="12.75" customHeight="1">
      <c r="E851" s="482"/>
    </row>
    <row r="852" ht="12.75" customHeight="1">
      <c r="E852" s="482"/>
    </row>
    <row r="853" ht="12.75" customHeight="1">
      <c r="E853" s="482"/>
    </row>
    <row r="854" ht="12.75" customHeight="1">
      <c r="E854" s="482"/>
    </row>
    <row r="855" ht="12.75" customHeight="1">
      <c r="E855" s="482"/>
    </row>
    <row r="856" ht="12.75" customHeight="1">
      <c r="E856" s="482"/>
    </row>
    <row r="857" ht="12.75" customHeight="1">
      <c r="E857" s="482"/>
    </row>
    <row r="858" ht="12.75" customHeight="1">
      <c r="E858" s="482"/>
    </row>
    <row r="859" ht="12.75" customHeight="1">
      <c r="E859" s="482"/>
    </row>
    <row r="860" ht="12.75" customHeight="1">
      <c r="E860" s="482"/>
    </row>
    <row r="861" ht="12.75" customHeight="1">
      <c r="E861" s="482"/>
    </row>
    <row r="862" ht="12.75" customHeight="1">
      <c r="E862" s="482"/>
    </row>
    <row r="863" ht="12.75" customHeight="1">
      <c r="E863" s="482"/>
    </row>
    <row r="864" ht="12.75" customHeight="1">
      <c r="E864" s="482"/>
    </row>
    <row r="865" ht="12.75" customHeight="1">
      <c r="E865" s="482"/>
    </row>
    <row r="866" ht="12.75" customHeight="1">
      <c r="E866" s="482"/>
    </row>
    <row r="867" ht="12.75" customHeight="1">
      <c r="E867" s="482"/>
    </row>
    <row r="868" ht="12.75" customHeight="1">
      <c r="E868" s="482"/>
    </row>
    <row r="869" ht="12.75" customHeight="1">
      <c r="E869" s="482"/>
    </row>
    <row r="870" ht="12.75" customHeight="1">
      <c r="E870" s="482"/>
    </row>
    <row r="871" ht="12.75" customHeight="1">
      <c r="E871" s="482"/>
    </row>
    <row r="872" ht="12.75" customHeight="1">
      <c r="E872" s="482"/>
    </row>
    <row r="873" ht="12.75" customHeight="1">
      <c r="E873" s="482"/>
    </row>
    <row r="874" ht="12.75" customHeight="1">
      <c r="E874" s="482"/>
    </row>
    <row r="875" ht="12.75" customHeight="1">
      <c r="E875" s="482"/>
    </row>
    <row r="876" ht="12.75" customHeight="1">
      <c r="E876" s="482"/>
    </row>
    <row r="877" ht="12.75" customHeight="1">
      <c r="E877" s="482"/>
    </row>
    <row r="878" ht="12.75" customHeight="1">
      <c r="E878" s="482"/>
    </row>
    <row r="879" ht="12.75" customHeight="1">
      <c r="E879" s="482"/>
    </row>
    <row r="880" ht="12.75" customHeight="1">
      <c r="E880" s="482"/>
    </row>
    <row r="881" ht="12.75" customHeight="1">
      <c r="E881" s="482"/>
    </row>
    <row r="882" ht="12.75" customHeight="1">
      <c r="E882" s="482"/>
    </row>
    <row r="883" ht="12.75" customHeight="1">
      <c r="E883" s="482"/>
    </row>
    <row r="884" ht="12.75" customHeight="1">
      <c r="E884" s="482"/>
    </row>
    <row r="885" ht="12.75" customHeight="1">
      <c r="E885" s="482"/>
    </row>
    <row r="886" ht="12.75" customHeight="1">
      <c r="E886" s="482"/>
    </row>
    <row r="887" ht="12.75" customHeight="1">
      <c r="E887" s="482"/>
    </row>
    <row r="888" ht="12.75" customHeight="1">
      <c r="E888" s="482"/>
    </row>
    <row r="889" ht="12.75" customHeight="1">
      <c r="E889" s="482"/>
    </row>
    <row r="890" ht="12.75" customHeight="1">
      <c r="E890" s="482"/>
    </row>
    <row r="891" ht="12.75" customHeight="1">
      <c r="E891" s="482"/>
    </row>
    <row r="892" ht="12.75" customHeight="1">
      <c r="E892" s="482"/>
    </row>
    <row r="893" ht="12.75" customHeight="1">
      <c r="E893" s="482"/>
    </row>
    <row r="894" ht="12.75" customHeight="1">
      <c r="E894" s="482"/>
    </row>
    <row r="895" ht="12.75" customHeight="1">
      <c r="E895" s="482"/>
    </row>
    <row r="896" ht="12.75" customHeight="1">
      <c r="E896" s="482"/>
    </row>
    <row r="897" ht="12.75" customHeight="1">
      <c r="E897" s="482"/>
    </row>
    <row r="898" ht="12.75" customHeight="1">
      <c r="E898" s="482"/>
    </row>
    <row r="899" ht="12.75" customHeight="1">
      <c r="E899" s="482"/>
    </row>
    <row r="900" ht="12.75" customHeight="1">
      <c r="E900" s="482"/>
    </row>
    <row r="901" ht="12.75" customHeight="1">
      <c r="E901" s="482"/>
    </row>
    <row r="902" ht="12.75" customHeight="1">
      <c r="E902" s="482"/>
    </row>
    <row r="903" ht="12.75" customHeight="1">
      <c r="E903" s="482"/>
    </row>
    <row r="904" ht="12.75" customHeight="1">
      <c r="E904" s="482"/>
    </row>
    <row r="905" ht="12.75" customHeight="1">
      <c r="E905" s="482"/>
    </row>
    <row r="906" ht="12.75" customHeight="1">
      <c r="E906" s="482"/>
    </row>
    <row r="907" ht="12.75" customHeight="1">
      <c r="E907" s="482"/>
    </row>
    <row r="908" ht="12.75" customHeight="1">
      <c r="E908" s="482"/>
    </row>
    <row r="909" ht="12.75" customHeight="1">
      <c r="E909" s="482"/>
    </row>
    <row r="910" ht="12.75" customHeight="1">
      <c r="E910" s="482"/>
    </row>
    <row r="911" ht="12.75" customHeight="1">
      <c r="E911" s="482"/>
    </row>
    <row r="912" ht="12.75" customHeight="1">
      <c r="E912" s="482"/>
    </row>
    <row r="913" ht="12.75" customHeight="1">
      <c r="E913" s="482"/>
    </row>
    <row r="914" ht="12.75" customHeight="1">
      <c r="E914" s="482"/>
    </row>
    <row r="915" ht="12.75" customHeight="1">
      <c r="E915" s="482"/>
    </row>
    <row r="916" ht="12.75" customHeight="1">
      <c r="E916" s="482"/>
    </row>
    <row r="917" ht="12.75" customHeight="1">
      <c r="E917" s="482"/>
    </row>
    <row r="918" ht="12.75" customHeight="1">
      <c r="E918" s="482"/>
    </row>
    <row r="919" ht="12.75" customHeight="1">
      <c r="E919" s="482"/>
    </row>
    <row r="920" ht="12.75" customHeight="1">
      <c r="E920" s="482"/>
    </row>
    <row r="921" ht="12.75" customHeight="1">
      <c r="E921" s="482"/>
    </row>
    <row r="922" ht="12.75" customHeight="1">
      <c r="E922" s="482"/>
    </row>
    <row r="923" ht="12.75" customHeight="1">
      <c r="E923" s="482"/>
    </row>
    <row r="924" ht="12.75" customHeight="1">
      <c r="E924" s="482"/>
    </row>
    <row r="925" ht="12.75" customHeight="1">
      <c r="E925" s="482"/>
    </row>
    <row r="926" ht="12.75" customHeight="1">
      <c r="E926" s="482"/>
    </row>
    <row r="927" ht="12.75" customHeight="1">
      <c r="E927" s="482"/>
    </row>
    <row r="928" ht="12.75" customHeight="1">
      <c r="E928" s="482"/>
    </row>
    <row r="929" ht="12.75" customHeight="1">
      <c r="E929" s="482"/>
    </row>
    <row r="930" ht="12.75" customHeight="1">
      <c r="E930" s="482"/>
    </row>
    <row r="931" ht="12.75" customHeight="1">
      <c r="E931" s="482"/>
    </row>
    <row r="932" ht="12.75" customHeight="1">
      <c r="E932" s="482"/>
    </row>
    <row r="933" ht="12.75" customHeight="1">
      <c r="E933" s="482"/>
    </row>
    <row r="934" ht="12.75" customHeight="1">
      <c r="E934" s="482"/>
    </row>
    <row r="935" ht="12.75" customHeight="1">
      <c r="E935" s="482"/>
    </row>
    <row r="936" ht="12.75" customHeight="1">
      <c r="E936" s="482"/>
    </row>
    <row r="937" ht="12.75" customHeight="1">
      <c r="E937" s="482"/>
    </row>
    <row r="938" ht="12.75" customHeight="1">
      <c r="E938" s="482"/>
    </row>
    <row r="939" ht="12.75" customHeight="1">
      <c r="E939" s="482"/>
    </row>
    <row r="940" ht="12.75" customHeight="1">
      <c r="E940" s="482"/>
    </row>
    <row r="941" ht="12.75" customHeight="1">
      <c r="E941" s="482"/>
    </row>
    <row r="942" ht="12.75" customHeight="1">
      <c r="E942" s="482"/>
    </row>
    <row r="943" ht="12.75" customHeight="1">
      <c r="E943" s="482"/>
    </row>
    <row r="944" ht="12.75" customHeight="1">
      <c r="E944" s="482"/>
    </row>
    <row r="945" ht="12.75" customHeight="1">
      <c r="E945" s="482"/>
    </row>
    <row r="946" ht="12.75" customHeight="1">
      <c r="E946" s="482"/>
    </row>
    <row r="947" ht="12.75" customHeight="1">
      <c r="E947" s="482"/>
    </row>
    <row r="948" ht="12.75" customHeight="1">
      <c r="E948" s="482"/>
    </row>
    <row r="949" ht="12.75" customHeight="1">
      <c r="E949" s="482"/>
    </row>
    <row r="950" ht="12.75" customHeight="1">
      <c r="E950" s="482"/>
    </row>
    <row r="951" ht="12.75" customHeight="1">
      <c r="E951" s="482"/>
    </row>
    <row r="952" ht="12.75" customHeight="1">
      <c r="E952" s="482"/>
    </row>
    <row r="953" ht="12.75" customHeight="1">
      <c r="E953" s="482"/>
    </row>
    <row r="954" ht="12.75" customHeight="1">
      <c r="E954" s="482"/>
    </row>
    <row r="955" ht="12.75" customHeight="1">
      <c r="E955" s="482"/>
    </row>
    <row r="956" ht="12.75" customHeight="1">
      <c r="E956" s="482"/>
    </row>
    <row r="957" ht="12.75" customHeight="1">
      <c r="E957" s="482"/>
    </row>
    <row r="958" ht="12.75" customHeight="1">
      <c r="E958" s="482"/>
    </row>
    <row r="959" ht="12.75" customHeight="1">
      <c r="E959" s="482"/>
    </row>
    <row r="960" ht="12.75" customHeight="1">
      <c r="E960" s="482"/>
    </row>
    <row r="961" ht="12.75" customHeight="1">
      <c r="E961" s="482"/>
    </row>
    <row r="962" ht="12.75" customHeight="1">
      <c r="E962" s="482"/>
    </row>
    <row r="963" ht="12.75" customHeight="1">
      <c r="E963" s="482"/>
    </row>
    <row r="964" ht="12.75" customHeight="1">
      <c r="E964" s="482"/>
    </row>
    <row r="965" ht="12.75" customHeight="1">
      <c r="E965" s="482"/>
    </row>
    <row r="966" ht="12.75" customHeight="1">
      <c r="E966" s="482"/>
    </row>
    <row r="967" ht="12.75" customHeight="1">
      <c r="E967" s="482"/>
    </row>
    <row r="968" ht="12.75" customHeight="1">
      <c r="E968" s="482"/>
    </row>
    <row r="969" ht="12.75" customHeight="1">
      <c r="E969" s="482"/>
    </row>
    <row r="970" ht="12.75" customHeight="1">
      <c r="E970" s="482"/>
    </row>
    <row r="971" ht="12.75" customHeight="1">
      <c r="E971" s="482"/>
    </row>
    <row r="972" ht="12.75" customHeight="1">
      <c r="E972" s="482"/>
    </row>
    <row r="973" ht="12.75" customHeight="1">
      <c r="E973" s="482"/>
    </row>
    <row r="974" ht="12.75" customHeight="1">
      <c r="E974" s="482"/>
    </row>
    <row r="975" ht="12.75" customHeight="1">
      <c r="E975" s="482"/>
    </row>
    <row r="976" ht="12.75" customHeight="1">
      <c r="E976" s="482"/>
    </row>
    <row r="977" ht="12.75" customHeight="1">
      <c r="E977" s="482"/>
    </row>
    <row r="978" ht="12.75" customHeight="1">
      <c r="E978" s="482"/>
    </row>
    <row r="979" ht="12.75" customHeight="1">
      <c r="E979" s="482"/>
    </row>
    <row r="980" ht="12.75" customHeight="1">
      <c r="E980" s="482"/>
    </row>
    <row r="981" ht="12.75" customHeight="1">
      <c r="E981" s="482"/>
    </row>
    <row r="982" ht="12.75" customHeight="1">
      <c r="E982" s="482"/>
    </row>
    <row r="983" ht="12.75" customHeight="1">
      <c r="E983" s="482"/>
    </row>
    <row r="984" ht="12.75" customHeight="1">
      <c r="E984" s="482"/>
    </row>
    <row r="985" ht="12.75" customHeight="1">
      <c r="E985" s="482"/>
    </row>
    <row r="986" ht="12.75" customHeight="1">
      <c r="E986" s="482"/>
    </row>
    <row r="987" ht="12.75" customHeight="1">
      <c r="E987" s="482"/>
    </row>
    <row r="988" ht="12.75" customHeight="1">
      <c r="E988" s="482"/>
    </row>
    <row r="989" ht="12.75" customHeight="1">
      <c r="E989" s="482"/>
    </row>
    <row r="990" ht="12.75" customHeight="1">
      <c r="E990" s="482"/>
    </row>
    <row r="991" ht="12.75" customHeight="1">
      <c r="E991" s="482"/>
    </row>
    <row r="992" ht="12.75" customHeight="1">
      <c r="E992" s="482"/>
    </row>
    <row r="993" ht="12.75" customHeight="1">
      <c r="E993" s="482"/>
    </row>
    <row r="994" ht="12.75" customHeight="1">
      <c r="E994" s="482"/>
    </row>
    <row r="995" ht="12.75" customHeight="1">
      <c r="E995" s="482"/>
    </row>
    <row r="996" ht="12.75" customHeight="1">
      <c r="E996" s="482"/>
    </row>
    <row r="997" ht="12.75" customHeight="1">
      <c r="E997" s="482"/>
    </row>
    <row r="998" ht="12.75" customHeight="1">
      <c r="E998" s="482"/>
    </row>
    <row r="999" ht="12.75" customHeight="1">
      <c r="E999" s="482"/>
    </row>
    <row r="1000" ht="12.75" customHeight="1">
      <c r="E1000" s="482"/>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